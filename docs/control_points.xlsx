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R:\Games\The Elder Scrolls V Skyrim - Special Edition\MO2\mods\RFAB Survival Layer\docs\"/>
    </mc:Choice>
  </mc:AlternateContent>
  <xr:revisionPtr revIDLastSave="0" documentId="13_ncr:1_{D3ED396C-E3DB-4E6E-9A21-B93213391BB0}" xr6:coauthVersionLast="47" xr6:coauthVersionMax="47" xr10:uidLastSave="{00000000-0000-0000-0000-000000000000}"/>
  <bookViews>
    <workbookView xWindow="180" yWindow="180" windowWidth="20940" windowHeight="20145" xr2:uid="{00000000-000D-0000-FFFF-FFFF00000000}"/>
  </bookViews>
  <sheets>
    <sheet name="Skyrim" sheetId="1" r:id="rId1"/>
    <sheet name="Solstheim" sheetId="2" r:id="rId2"/>
    <sheet name="Справка" sheetId="3" r:id="rId3"/>
  </sheets>
  <definedNames>
    <definedName name="_xlnm._FilterDatabase" localSheetId="0" hidden="1">Skyrim!$A$1:$J$367</definedName>
    <definedName name="_xlnm._FilterDatabase" localSheetId="1" hidden="1">Solstheim!$A$1:$J$53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" i="2" l="1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206" i="1"/>
  <c r="J87" i="1"/>
  <c r="J214" i="1"/>
  <c r="J11" i="1"/>
  <c r="J115" i="1"/>
  <c r="J71" i="1"/>
  <c r="J305" i="1"/>
  <c r="J112" i="1"/>
  <c r="J285" i="1"/>
  <c r="J221" i="1"/>
  <c r="J277" i="1"/>
  <c r="J66" i="1"/>
  <c r="J275" i="1"/>
  <c r="J151" i="1"/>
  <c r="J149" i="1"/>
  <c r="J152" i="1"/>
  <c r="J225" i="1"/>
  <c r="J72" i="1"/>
  <c r="J107" i="1"/>
  <c r="J2" i="1"/>
  <c r="J63" i="1"/>
  <c r="J150" i="1"/>
  <c r="J82" i="1"/>
  <c r="J45" i="1"/>
  <c r="J159" i="1"/>
  <c r="J99" i="1"/>
  <c r="J351" i="1"/>
  <c r="J67" i="1"/>
  <c r="J282" i="1"/>
  <c r="J141" i="1"/>
  <c r="J319" i="1"/>
  <c r="J203" i="1"/>
  <c r="J165" i="1"/>
  <c r="J263" i="1"/>
  <c r="J128" i="1"/>
  <c r="J239" i="1"/>
  <c r="J283" i="1"/>
  <c r="J60" i="1"/>
  <c r="J64" i="1"/>
  <c r="J211" i="1"/>
  <c r="J321" i="1"/>
  <c r="J313" i="1"/>
  <c r="J140" i="1"/>
  <c r="J252" i="1"/>
  <c r="J311" i="1"/>
  <c r="J251" i="1"/>
  <c r="J352" i="1"/>
  <c r="J256" i="1"/>
  <c r="J37" i="1"/>
  <c r="J190" i="1"/>
  <c r="J346" i="1"/>
  <c r="J100" i="1"/>
  <c r="J298" i="1"/>
  <c r="J334" i="1"/>
  <c r="J338" i="1"/>
  <c r="J342" i="1"/>
  <c r="J193" i="1"/>
  <c r="J248" i="1"/>
  <c r="J75" i="1"/>
  <c r="J228" i="1"/>
  <c r="J202" i="1"/>
  <c r="J153" i="1"/>
  <c r="J69" i="1"/>
  <c r="J254" i="1"/>
  <c r="J281" i="1"/>
  <c r="J280" i="1"/>
  <c r="J250" i="1"/>
  <c r="J303" i="1"/>
  <c r="J134" i="1"/>
  <c r="J310" i="1"/>
  <c r="J97" i="1"/>
  <c r="J40" i="1"/>
  <c r="J81" i="1"/>
  <c r="J51" i="1"/>
  <c r="J90" i="1"/>
  <c r="J19" i="1"/>
  <c r="J116" i="1"/>
  <c r="J304" i="1"/>
  <c r="J98" i="1"/>
  <c r="J179" i="1"/>
  <c r="J253" i="1"/>
  <c r="J213" i="1"/>
  <c r="J157" i="1"/>
  <c r="J120" i="1"/>
  <c r="J182" i="1"/>
  <c r="J36" i="1"/>
  <c r="J35" i="1"/>
  <c r="J300" i="1"/>
  <c r="J259" i="1"/>
  <c r="J226" i="1"/>
  <c r="J247" i="1"/>
  <c r="J354" i="1"/>
  <c r="J229" i="1"/>
  <c r="J337" i="1"/>
  <c r="J56" i="1"/>
  <c r="J219" i="1"/>
  <c r="J301" i="1"/>
  <c r="J330" i="1"/>
  <c r="J279" i="1"/>
  <c r="J118" i="1"/>
  <c r="J327" i="1"/>
  <c r="J233" i="1"/>
  <c r="J110" i="1"/>
  <c r="J38" i="1"/>
  <c r="J175" i="1"/>
  <c r="J335" i="1"/>
  <c r="J86" i="1"/>
  <c r="J276" i="1"/>
  <c r="J267" i="1"/>
  <c r="J185" i="1"/>
  <c r="J73" i="1"/>
  <c r="J20" i="1"/>
  <c r="J218" i="1"/>
  <c r="J176" i="1"/>
  <c r="J158" i="1"/>
  <c r="J130" i="1"/>
  <c r="J187" i="1"/>
  <c r="J133" i="1"/>
  <c r="J41" i="1"/>
  <c r="J268" i="1"/>
  <c r="J92" i="1"/>
  <c r="J197" i="1"/>
  <c r="J339" i="1"/>
  <c r="J274" i="1"/>
  <c r="J257" i="1"/>
  <c r="J47" i="1"/>
  <c r="J289" i="1"/>
  <c r="J230" i="1"/>
  <c r="J84" i="1"/>
  <c r="J59" i="1"/>
  <c r="J189" i="1"/>
  <c r="J167" i="1"/>
  <c r="J227" i="1"/>
  <c r="J194" i="1"/>
  <c r="J170" i="1"/>
  <c r="J114" i="1"/>
  <c r="J215" i="1"/>
  <c r="J10" i="1"/>
  <c r="J44" i="1"/>
  <c r="J355" i="1"/>
  <c r="J349" i="1"/>
  <c r="J341" i="1"/>
  <c r="J39" i="1"/>
  <c r="J61" i="1"/>
  <c r="J220" i="1"/>
  <c r="J312" i="1"/>
  <c r="J76" i="1"/>
  <c r="J142" i="1"/>
  <c r="J171" i="1"/>
  <c r="J180" i="1"/>
  <c r="J156" i="1"/>
  <c r="J83" i="1"/>
  <c r="J224" i="1"/>
  <c r="J294" i="1"/>
  <c r="J113" i="1"/>
  <c r="J358" i="1"/>
  <c r="J135" i="1"/>
  <c r="J195" i="1"/>
  <c r="J52" i="1"/>
  <c r="J186" i="1"/>
  <c r="J42" i="1"/>
  <c r="J155" i="1"/>
  <c r="J198" i="1"/>
  <c r="J278" i="1"/>
  <c r="J132" i="1"/>
  <c r="J328" i="1"/>
  <c r="J143" i="1"/>
  <c r="J164" i="1"/>
  <c r="J88" i="1"/>
  <c r="J24" i="1"/>
  <c r="J160" i="1"/>
  <c r="J336" i="1"/>
  <c r="J308" i="1"/>
  <c r="J288" i="1"/>
  <c r="J33" i="1"/>
  <c r="J12" i="1"/>
  <c r="J91" i="1"/>
  <c r="J124" i="1"/>
  <c r="J18" i="1"/>
  <c r="J168" i="1"/>
  <c r="J136" i="1"/>
  <c r="J77" i="1"/>
  <c r="J184" i="1"/>
  <c r="J139" i="1"/>
  <c r="J16" i="1"/>
  <c r="J173" i="1"/>
  <c r="J6" i="1"/>
  <c r="J25" i="1"/>
  <c r="J137" i="1"/>
  <c r="J14" i="1"/>
  <c r="J101" i="1"/>
  <c r="J314" i="1"/>
  <c r="J315" i="1"/>
  <c r="J265" i="1"/>
  <c r="J162" i="1"/>
  <c r="J302" i="1"/>
  <c r="J359" i="1"/>
  <c r="J163" i="1"/>
  <c r="J121" i="1"/>
  <c r="J146" i="1"/>
  <c r="J147" i="1"/>
  <c r="J145" i="1"/>
  <c r="J74" i="1"/>
  <c r="J246" i="1"/>
  <c r="J353" i="1"/>
  <c r="J21" i="1"/>
  <c r="J318" i="1"/>
  <c r="J154" i="1"/>
  <c r="J295" i="1"/>
  <c r="J320" i="1"/>
  <c r="J127" i="1"/>
  <c r="J216" i="1"/>
  <c r="J117" i="1"/>
  <c r="J23" i="1"/>
  <c r="J22" i="1"/>
  <c r="J345" i="1"/>
  <c r="J293" i="1"/>
  <c r="J331" i="1"/>
  <c r="J48" i="1"/>
  <c r="J65" i="1"/>
  <c r="J196" i="1"/>
  <c r="J191" i="1"/>
  <c r="J222" i="1"/>
  <c r="J104" i="1"/>
  <c r="J79" i="1"/>
  <c r="J322" i="1"/>
  <c r="J217" i="1"/>
  <c r="J266" i="1"/>
  <c r="J269" i="1"/>
  <c r="J296" i="1"/>
  <c r="J50" i="1"/>
  <c r="J122" i="1"/>
  <c r="J270" i="1"/>
  <c r="J93" i="1"/>
  <c r="J223" i="1"/>
  <c r="J367" i="1"/>
  <c r="J192" i="1"/>
  <c r="J306" i="1"/>
  <c r="J43" i="1"/>
  <c r="J105" i="1"/>
  <c r="J57" i="1"/>
  <c r="J78" i="1"/>
  <c r="J34" i="1"/>
  <c r="J123" i="1"/>
  <c r="J183" i="1"/>
  <c r="J234" i="1"/>
  <c r="J26" i="1"/>
  <c r="J272" i="1"/>
  <c r="J292" i="1"/>
  <c r="J58" i="1"/>
  <c r="J205" i="1"/>
  <c r="J261" i="1"/>
  <c r="J231" i="1"/>
  <c r="J103" i="1"/>
  <c r="J240" i="1"/>
  <c r="J8" i="1"/>
  <c r="J232" i="1"/>
  <c r="J95" i="1"/>
  <c r="J333" i="1"/>
  <c r="J96" i="1"/>
  <c r="J27" i="1"/>
  <c r="J236" i="1"/>
  <c r="J5" i="1"/>
  <c r="J55" i="1"/>
  <c r="J323" i="1"/>
  <c r="J260" i="1"/>
  <c r="J325" i="1"/>
  <c r="J207" i="1"/>
  <c r="J102" i="1"/>
  <c r="J357" i="1"/>
  <c r="J9" i="1"/>
  <c r="J307" i="1"/>
  <c r="J13" i="1"/>
  <c r="J297" i="1"/>
  <c r="J68" i="1"/>
  <c r="J161" i="1"/>
  <c r="J264" i="1"/>
  <c r="J111" i="1"/>
  <c r="J174" i="1"/>
  <c r="J365" i="1"/>
  <c r="J309" i="1"/>
  <c r="J181" i="1"/>
  <c r="J172" i="1"/>
  <c r="J366" i="1"/>
  <c r="J344" i="1"/>
  <c r="J258" i="1"/>
  <c r="J235" i="1"/>
  <c r="J286" i="1"/>
  <c r="J210" i="1"/>
  <c r="J80" i="1"/>
  <c r="J204" i="1"/>
  <c r="J15" i="1"/>
  <c r="J350" i="1"/>
  <c r="J200" i="1"/>
  <c r="J28" i="1"/>
  <c r="J361" i="1"/>
  <c r="J53" i="1"/>
  <c r="J31" i="1"/>
  <c r="J362" i="1"/>
  <c r="J291" i="1"/>
  <c r="J287" i="1"/>
  <c r="J108" i="1"/>
  <c r="J360" i="1"/>
  <c r="J94" i="1"/>
  <c r="J244" i="1"/>
  <c r="J243" i="1"/>
  <c r="J340" i="1"/>
  <c r="J329" i="1"/>
  <c r="J273" i="1"/>
  <c r="J356" i="1"/>
  <c r="J237" i="1"/>
  <c r="J177" i="1"/>
  <c r="J208" i="1"/>
  <c r="J238" i="1"/>
  <c r="J188" i="1"/>
  <c r="J199" i="1"/>
  <c r="J343" i="1"/>
  <c r="J62" i="1"/>
  <c r="J70" i="1"/>
  <c r="J138" i="1"/>
  <c r="J109" i="1"/>
  <c r="J4" i="1"/>
  <c r="J209" i="1"/>
  <c r="J144" i="1"/>
  <c r="J363" i="1"/>
  <c r="J148" i="1"/>
  <c r="J241" i="1"/>
  <c r="J85" i="1"/>
  <c r="J30" i="1"/>
  <c r="J245" i="1"/>
  <c r="J242" i="1"/>
  <c r="J299" i="1"/>
  <c r="J129" i="1"/>
  <c r="J317" i="1"/>
  <c r="J119" i="1"/>
  <c r="J125" i="1"/>
  <c r="J316" i="1"/>
  <c r="J284" i="1"/>
  <c r="J89" i="1"/>
  <c r="J249" i="1"/>
  <c r="J290" i="1"/>
  <c r="J166" i="1"/>
  <c r="J17" i="1"/>
  <c r="J131" i="1"/>
  <c r="J106" i="1"/>
  <c r="J169" i="1"/>
  <c r="J262" i="1"/>
  <c r="J332" i="1"/>
  <c r="J3" i="1"/>
  <c r="J29" i="1"/>
  <c r="J271" i="1"/>
  <c r="J324" i="1"/>
  <c r="J7" i="1"/>
  <c r="J255" i="1"/>
  <c r="J348" i="1"/>
  <c r="J201" i="1"/>
  <c r="J212" i="1"/>
  <c r="J126" i="1"/>
  <c r="J178" i="1"/>
  <c r="J32" i="1"/>
  <c r="J49" i="1"/>
  <c r="J364" i="1"/>
  <c r="J326" i="1"/>
  <c r="J347" i="1"/>
  <c r="J46" i="1"/>
  <c r="J54" i="1"/>
</calcChain>
</file>

<file path=xl/sharedStrings.xml><?xml version="1.0" encoding="utf-8"?>
<sst xmlns="http://schemas.openxmlformats.org/spreadsheetml/2006/main" count="940" uniqueCount="477">
  <si>
    <t>место</t>
  </si>
  <si>
    <t>X</t>
  </si>
  <si>
    <t>Y</t>
  </si>
  <si>
    <t>земля Z</t>
  </si>
  <si>
    <t>превышение</t>
  </si>
  <si>
    <t>снег</t>
  </si>
  <si>
    <t>регион (игра)</t>
  </si>
  <si>
    <t>защита</t>
  </si>
  <si>
    <t>равновесие</t>
  </si>
  <si>
    <t>T, градусы</t>
  </si>
  <si>
    <t>Глотка Мира</t>
  </si>
  <si>
    <t>Mountains</t>
  </si>
  <si>
    <t>4 слота, резист 100%</t>
  </si>
  <si>
    <t>Высокий Хротгар</t>
  </si>
  <si>
    <t>4 слота, резист 50%</t>
  </si>
  <si>
    <t>Хижина Фроки</t>
  </si>
  <si>
    <t>FallForest</t>
  </si>
  <si>
    <t>4 слота, без резиста</t>
  </si>
  <si>
    <t>Форелхост</t>
  </si>
  <si>
    <t>4 слота, резист 25%</t>
  </si>
  <si>
    <t>Южное святилище</t>
  </si>
  <si>
    <t>Высота Откушенный Язык</t>
  </si>
  <si>
    <t>Ветровая Дуга</t>
  </si>
  <si>
    <t>Осенняя сторожевая башня</t>
  </si>
  <si>
    <t>Кровавый Трон</t>
  </si>
  <si>
    <t>Последний пост</t>
  </si>
  <si>
    <t>Snow</t>
  </si>
  <si>
    <t>Пещера Хеймара</t>
  </si>
  <si>
    <t>Ход Древних</t>
  </si>
  <si>
    <t>Руины Ркунда</t>
  </si>
  <si>
    <t>DarklightTower</t>
  </si>
  <si>
    <t>Ангарвунд</t>
  </si>
  <si>
    <t>Фолкрит - Лагерь Братьев Бури</t>
  </si>
  <si>
    <t>Сигнальная башня Стендарра</t>
  </si>
  <si>
    <t>Вершина Северный Ветер</t>
  </si>
  <si>
    <t>PineForest</t>
  </si>
  <si>
    <t>Аванчнзел</t>
  </si>
  <si>
    <t>Форт Нойград</t>
  </si>
  <si>
    <t>MountainsNoPrecip</t>
  </si>
  <si>
    <t>Северная горная застава</t>
  </si>
  <si>
    <t>Одинокая скала</t>
  </si>
  <si>
    <t>Камень Тени</t>
  </si>
  <si>
    <t>Лагерь Анги</t>
  </si>
  <si>
    <t>-</t>
  </si>
  <si>
    <t>Башня Светотьмы</t>
  </si>
  <si>
    <t>Нилхейм</t>
  </si>
  <si>
    <t>Сторожевая башня Рифта</t>
  </si>
  <si>
    <t>голым</t>
  </si>
  <si>
    <t>Руины Бталфта</t>
  </si>
  <si>
    <t>Зуб Фалдара</t>
  </si>
  <si>
    <t>Соловьиный зал</t>
  </si>
  <si>
    <t>Ферма Сарети</t>
  </si>
  <si>
    <t>Кристаллическая пещера</t>
  </si>
  <si>
    <t>Красноводное логово</t>
  </si>
  <si>
    <t>Ферма Снегоходов</t>
  </si>
  <si>
    <t>Курган Погребальный Огонь</t>
  </si>
  <si>
    <t>Тревская застава</t>
  </si>
  <si>
    <t>Рифт - Лагерь Братьев Бури</t>
  </si>
  <si>
    <t>Рифтен - Конюшни</t>
  </si>
  <si>
    <t>FFRiften</t>
  </si>
  <si>
    <t>Веселая ферма</t>
  </si>
  <si>
    <t>Зал Гейрмунда</t>
  </si>
  <si>
    <t>Рифт - Имперский лагерь</t>
  </si>
  <si>
    <t>Медовая пещера</t>
  </si>
  <si>
    <t>Южная горная застава</t>
  </si>
  <si>
    <t>Лощина Сломанный Шлем</t>
  </si>
  <si>
    <t>Поместье Златоцвет</t>
  </si>
  <si>
    <t>Айварстед</t>
  </si>
  <si>
    <t>Камнепадная пещера</t>
  </si>
  <si>
    <t>Ларгашбур</t>
  </si>
  <si>
    <t>Деревня Лесная</t>
  </si>
  <si>
    <t>Грот Серая Вода</t>
  </si>
  <si>
    <t>Хижина алхимика</t>
  </si>
  <si>
    <t>Пещера Сосновый Пик</t>
  </si>
  <si>
    <t>Пещера Желтый Камень</t>
  </si>
  <si>
    <t>Резиденция Черный Вереск</t>
  </si>
  <si>
    <t>Поляна Предков</t>
  </si>
  <si>
    <t>Осенняя поляна</t>
  </si>
  <si>
    <t>Раскопки Рунвальда</t>
  </si>
  <si>
    <t>Чистое озеро</t>
  </si>
  <si>
    <t>Сквозняковый проход</t>
  </si>
  <si>
    <t>Форт Гринвол</t>
  </si>
  <si>
    <t>FallForestNoPrecip</t>
  </si>
  <si>
    <t>Хелген</t>
  </si>
  <si>
    <t>Рифтен - Военный лагерь</t>
  </si>
  <si>
    <t>Кагрензел</t>
  </si>
  <si>
    <t>Шахта Потерянный Шанс</t>
  </si>
  <si>
    <t>Камень Шора</t>
  </si>
  <si>
    <t>Старушечья скала</t>
  </si>
  <si>
    <t>Reach</t>
  </si>
  <si>
    <t>Сторожевая башня Шора</t>
  </si>
  <si>
    <t>Щелкающая пещера</t>
  </si>
  <si>
    <t>Ветреный пик</t>
  </si>
  <si>
    <t>Гленморильский ковен</t>
  </si>
  <si>
    <t>Шахта Северный Ветер</t>
  </si>
  <si>
    <t>Ведьмин оплот</t>
  </si>
  <si>
    <t>Пещера Толвальда</t>
  </si>
  <si>
    <t>Хребет Острие Ножа</t>
  </si>
  <si>
    <t>Башня Кредлстоун</t>
  </si>
  <si>
    <t>Пик Древних</t>
  </si>
  <si>
    <t>Желчная шахта</t>
  </si>
  <si>
    <t>Поместье Озерное</t>
  </si>
  <si>
    <t>Сосновая застава</t>
  </si>
  <si>
    <t>Разделенные башни</t>
  </si>
  <si>
    <t>Святилище Азуры</t>
  </si>
  <si>
    <t>Хижина Анис</t>
  </si>
  <si>
    <t>Южный Ноголомный проход</t>
  </si>
  <si>
    <t>Оплот Змеиный Утес</t>
  </si>
  <si>
    <t>Tundra</t>
  </si>
  <si>
    <t>Охотничий привал</t>
  </si>
  <si>
    <t>Факельная шахта</t>
  </si>
  <si>
    <t>Южный бастион Кричащий Ветер</t>
  </si>
  <si>
    <t>Оплот Потерянная Долина</t>
  </si>
  <si>
    <t>Камни-хранители</t>
  </si>
  <si>
    <t>Северный бастион Кричащий Ветер</t>
  </si>
  <si>
    <t>Мшистая пещера</t>
  </si>
  <si>
    <t>Двуглавый пик</t>
  </si>
  <si>
    <t>Теневая башня</t>
  </si>
  <si>
    <t>Башня Баннермист</t>
  </si>
  <si>
    <t>Утес Холодный Ветер</t>
  </si>
  <si>
    <t>Аркнтамз</t>
  </si>
  <si>
    <t>Чистый ручей</t>
  </si>
  <si>
    <t>Камень Леди</t>
  </si>
  <si>
    <t>Полулунная лесопилка</t>
  </si>
  <si>
    <t>Фолкрит - Сторожевая башня</t>
  </si>
  <si>
    <t>Святилище Мерунеса Дагона</t>
  </si>
  <si>
    <t>Фолкрит - Имперский лагерь</t>
  </si>
  <si>
    <t>Глубины Илиналты</t>
  </si>
  <si>
    <t>Алтарь Рожденного Небом</t>
  </si>
  <si>
    <t>Ральдбтхар</t>
  </si>
  <si>
    <t>Валтум</t>
  </si>
  <si>
    <t>Каирн Холдира</t>
  </si>
  <si>
    <t>Форт Сангард</t>
  </si>
  <si>
    <t>TundraNoPrecip</t>
  </si>
  <si>
    <t>Каирн Мятежника</t>
  </si>
  <si>
    <t>Развалины</t>
  </si>
  <si>
    <t>Ансилвунд</t>
  </si>
  <si>
    <t>Ривервуд</t>
  </si>
  <si>
    <t>Камень Лорда</t>
  </si>
  <si>
    <t>Рагнвальд</t>
  </si>
  <si>
    <t>Святилище Периайта</t>
  </si>
  <si>
    <t>Пик Прыжок Барда</t>
  </si>
  <si>
    <t>Гора Антор</t>
  </si>
  <si>
    <t>Сумеречная гробница</t>
  </si>
  <si>
    <t>Скала Гулдун</t>
  </si>
  <si>
    <t>Вайтран - Лагерь Братьев Бури</t>
  </si>
  <si>
    <t>Разделенное ущелье</t>
  </si>
  <si>
    <t>Перевал Странника</t>
  </si>
  <si>
    <t>Крепость Феллглоу</t>
  </si>
  <si>
    <t>Вечнозеленая роща</t>
  </si>
  <si>
    <t>Душник-Йал</t>
  </si>
  <si>
    <t>Гнездо Ветров Предела</t>
  </si>
  <si>
    <t>Камень Ритуала</t>
  </si>
  <si>
    <t>Волундруд</t>
  </si>
  <si>
    <t>Утес Каменный Холм</t>
  </si>
  <si>
    <t>Пещера Крегслейн</t>
  </si>
  <si>
    <t>Южный проход Холодных Скал</t>
  </si>
  <si>
    <t>Приречная застава</t>
  </si>
  <si>
    <t>Истмарк - Имперский лагерь</t>
  </si>
  <si>
    <t>Сигнальная башня Снежная</t>
  </si>
  <si>
    <t>Крепость Треснувший Бивень</t>
  </si>
  <si>
    <t>Главный подъемник Альфтанда</t>
  </si>
  <si>
    <t>Талморское посольство</t>
  </si>
  <si>
    <t>Серозимняя застава</t>
  </si>
  <si>
    <t>Северный проход Холодных Скал</t>
  </si>
  <si>
    <t>Предел - Имперский лагерь</t>
  </si>
  <si>
    <t>Фолкрит</t>
  </si>
  <si>
    <t>Falkreath</t>
  </si>
  <si>
    <t>Железное убежище</t>
  </si>
  <si>
    <t>Камень Любовника</t>
  </si>
  <si>
    <t>Придорожные руины</t>
  </si>
  <si>
    <t>Пещера Каменный Ручей</t>
  </si>
  <si>
    <t>Пещера Мерцающий Туман</t>
  </si>
  <si>
    <t>Грот Утопленника</t>
  </si>
  <si>
    <t>Высота Йоргрим</t>
  </si>
  <si>
    <t>Форт Кастав</t>
  </si>
  <si>
    <t>SnowNoPrecip</t>
  </si>
  <si>
    <t>Сумрачная шахта</t>
  </si>
  <si>
    <t>Хижина Лунда</t>
  </si>
  <si>
    <t>Вайтран - Военный лагерь</t>
  </si>
  <si>
    <t>Конюшни Маркарта</t>
  </si>
  <si>
    <t>Поцелуй Секунды</t>
  </si>
  <si>
    <t>Курган Железный</t>
  </si>
  <si>
    <t>Ферма Холодная Борозда</t>
  </si>
  <si>
    <t>Тайный вход в Утесную пещеру</t>
  </si>
  <si>
    <t>Мзулфт</t>
  </si>
  <si>
    <t>Ферма Сынов Битвы</t>
  </si>
  <si>
    <t>Бтардамз</t>
  </si>
  <si>
    <t>Часовня Боэтии</t>
  </si>
  <si>
    <t>DA02</t>
  </si>
  <si>
    <t>Рорикстед</t>
  </si>
  <si>
    <t>Дом Дреласа</t>
  </si>
  <si>
    <t>Маркарт - Военный лагерь</t>
  </si>
  <si>
    <t>Медоварня Хоннинга</t>
  </si>
  <si>
    <t>Кратер Драконий Зуб</t>
  </si>
  <si>
    <t>Нарзулбур</t>
  </si>
  <si>
    <t>Шахта Левая Рука</t>
  </si>
  <si>
    <t>Убежище Темного Братства</t>
  </si>
  <si>
    <t>Наблюдательный пост Четыре Черепа</t>
  </si>
  <si>
    <t>Северный Ноголомный проход</t>
  </si>
  <si>
    <t>Ферма Салвиев</t>
  </si>
  <si>
    <t>Ферма Пелагио</t>
  </si>
  <si>
    <t>Камень Коня</t>
  </si>
  <si>
    <t>Башня Белая Сосна</t>
  </si>
  <si>
    <t>Лагерь Чистых родников</t>
  </si>
  <si>
    <t>Вайтран - Конюшни</t>
  </si>
  <si>
    <t>Альфтанд</t>
  </si>
  <si>
    <t>Оплот Красный Орел</t>
  </si>
  <si>
    <t>Башня Мзарк</t>
  </si>
  <si>
    <t>Лесной оплот</t>
  </si>
  <si>
    <t>Переправа Глубинного Народа</t>
  </si>
  <si>
    <t>Дрифтшейд - Приют</t>
  </si>
  <si>
    <t>Лагерь Тихих Лун</t>
  </si>
  <si>
    <t>Обитель Раннвейг</t>
  </si>
  <si>
    <t>Белая сторожевая башня</t>
  </si>
  <si>
    <t>Крипта Ночной Пустоты</t>
  </si>
  <si>
    <t>Инеевый маяк</t>
  </si>
  <si>
    <t>Башни Валтейм</t>
  </si>
  <si>
    <t>Вечерняя пещера</t>
  </si>
  <si>
    <t>Старый Хролдан</t>
  </si>
  <si>
    <t>Утесная пещера</t>
  </si>
  <si>
    <t>Форт Храгстад</t>
  </si>
  <si>
    <t>Мрачный Предел</t>
  </si>
  <si>
    <t>Вайтран - Имперский лагерь</t>
  </si>
  <si>
    <t>Западная сторожевая башня</t>
  </si>
  <si>
    <t>Неприметное убежище</t>
  </si>
  <si>
    <t>Логово Сольюнда</t>
  </si>
  <si>
    <t>Форт Греймур</t>
  </si>
  <si>
    <t>Лагерь Говорящий Камень</t>
  </si>
  <si>
    <t>Сломанная башня</t>
  </si>
  <si>
    <t>Пещера Сломанный Клык</t>
  </si>
  <si>
    <t>Монумент Гьюкара</t>
  </si>
  <si>
    <t>Водоем Холодный Ветер</t>
  </si>
  <si>
    <t>Пещера Волчий Череп</t>
  </si>
  <si>
    <t>Главный подъемник Ральдбтхара</t>
  </si>
  <si>
    <t>Пещера Мертворожденного</t>
  </si>
  <si>
    <t>Лагерь Сонное Дерево</t>
  </si>
  <si>
    <t>Шахта Колскеггр</t>
  </si>
  <si>
    <t>Картвастен</t>
  </si>
  <si>
    <t>Таверна Ночные ворота</t>
  </si>
  <si>
    <t>Пристанище Лжеца</t>
  </si>
  <si>
    <t>Забытая пещера</t>
  </si>
  <si>
    <t>Мор Казгур</t>
  </si>
  <si>
    <t>Откос Крегвеллоу</t>
  </si>
  <si>
    <t>Оплот Друадах</t>
  </si>
  <si>
    <t>Логово плута</t>
  </si>
  <si>
    <t>Древний каирн</t>
  </si>
  <si>
    <t>Ферма Лорея</t>
  </si>
  <si>
    <t>Привал Хамвира</t>
  </si>
  <si>
    <t>Гробница Хилгрунда</t>
  </si>
  <si>
    <t>Винтерхолд - Имперский лагерь</t>
  </si>
  <si>
    <t>Хельяркен-холл</t>
  </si>
  <si>
    <t>Храм Призывателей Ночи</t>
  </si>
  <si>
    <t>Черный проход</t>
  </si>
  <si>
    <t>Вольскигге</t>
  </si>
  <si>
    <t>Арочный перевал</t>
  </si>
  <si>
    <t>Потерянный Валкигг</t>
  </si>
  <si>
    <t>Labyrinthian</t>
  </si>
  <si>
    <t>Картспайр</t>
  </si>
  <si>
    <t>Озерный утес</t>
  </si>
  <si>
    <t>Пещера Лунный Бор</t>
  </si>
  <si>
    <t>Приют Редорана</t>
  </si>
  <si>
    <t>Нора Зеленый Ручей</t>
  </si>
  <si>
    <t>Пещера Заблудшее Эхо</t>
  </si>
  <si>
    <t>Горный приют</t>
  </si>
  <si>
    <t>Закатная расселина</t>
  </si>
  <si>
    <t>Пруд Чистых Сосен</t>
  </si>
  <si>
    <t>Статуя Меридии</t>
  </si>
  <si>
    <t>Высота Драконий Мост</t>
  </si>
  <si>
    <t>Свистящая шахта</t>
  </si>
  <si>
    <t>Скелетный гребень</t>
  </si>
  <si>
    <t>VolcanicTundra</t>
  </si>
  <si>
    <t>Хармугстал</t>
  </si>
  <si>
    <t>Пещера Отвесный Утес</t>
  </si>
  <si>
    <t>Иркнтанд</t>
  </si>
  <si>
    <t>Серебряное логово</t>
  </si>
  <si>
    <t>Висельная скала</t>
  </si>
  <si>
    <t>Лагерь Картспайр</t>
  </si>
  <si>
    <t>Пещера Говорящие Холмы</t>
  </si>
  <si>
    <t>Лабиринтиан</t>
  </si>
  <si>
    <t>Морозная пещера</t>
  </si>
  <si>
    <t>Оротхейм</t>
  </si>
  <si>
    <t>Предел - Лагерь Братьев Бури</t>
  </si>
  <si>
    <t>Белый Берег - Лагерь Братьев Бури</t>
  </si>
  <si>
    <t>Дом Буранов</t>
  </si>
  <si>
    <t>Пещера Бронзовая Вода</t>
  </si>
  <si>
    <t>Седловая скала</t>
  </si>
  <si>
    <t>Скрытая роща</t>
  </si>
  <si>
    <t>Зал Дозора</t>
  </si>
  <si>
    <t>Форт Феллхаммер</t>
  </si>
  <si>
    <t>Оплот Прыжок Брюсы</t>
  </si>
  <si>
    <t>Винтерхолд</t>
  </si>
  <si>
    <t>Winterhold</t>
  </si>
  <si>
    <t>Камни Вейнон</t>
  </si>
  <si>
    <t>Разводная пещера</t>
  </si>
  <si>
    <t>Форт Амол</t>
  </si>
  <si>
    <t>VolcanicTundraNoPrecip</t>
  </si>
  <si>
    <t>Корваньюнд</t>
  </si>
  <si>
    <t>Снежная Завеса - Святилище</t>
  </si>
  <si>
    <t>Форт Дунстад</t>
  </si>
  <si>
    <t>Убежище Потерянный Нож</t>
  </si>
  <si>
    <t>Привал Беженцев</t>
  </si>
  <si>
    <t>Глубокая Тень</t>
  </si>
  <si>
    <t>Фростмир</t>
  </si>
  <si>
    <t>Пруд Глаз Мары</t>
  </si>
  <si>
    <t>Черный Брод</t>
  </si>
  <si>
    <t>Роща Ведьмин Туман</t>
  </si>
  <si>
    <t>Приют Подмастерья</t>
  </si>
  <si>
    <t>Святилище Великого Древа</t>
  </si>
  <si>
    <t>Туманная застава</t>
  </si>
  <si>
    <t>Виндхельм - Военный лагерь</t>
  </si>
  <si>
    <t>Паровой лагерь</t>
  </si>
  <si>
    <t>Красный перевал</t>
  </si>
  <si>
    <t>Морвунскар</t>
  </si>
  <si>
    <t>Пост Предателя</t>
  </si>
  <si>
    <t>Руины Небесного храма</t>
  </si>
  <si>
    <t>Coast</t>
  </si>
  <si>
    <t>Отвесная нора</t>
  </si>
  <si>
    <t>Камень Атронаха</t>
  </si>
  <si>
    <t>Упокоище</t>
  </si>
  <si>
    <t>Коллегия Винтерхолда</t>
  </si>
  <si>
    <t>Белый Берег - Имперский лагерь</t>
  </si>
  <si>
    <t>Ингвильд</t>
  </si>
  <si>
    <t>Главный подъемник Мзинчалефта</t>
  </si>
  <si>
    <t>Заброшенная тюрьма</t>
  </si>
  <si>
    <t>Винтерхолд - Лагерь Братьев Бури</t>
  </si>
  <si>
    <t>Каменные холмы</t>
  </si>
  <si>
    <t>Ферма Катлы</t>
  </si>
  <si>
    <t>Лагерь Сломанная Нога</t>
  </si>
  <si>
    <t>Укрытие Старейшин</t>
  </si>
  <si>
    <t>Руины Вдовьей заставы</t>
  </si>
  <si>
    <t>Солитьюд - Военный лагерь</t>
  </si>
  <si>
    <t>Руины Оберег Ветров</t>
  </si>
  <si>
    <t>Деревня Анга</t>
  </si>
  <si>
    <t>Мзинчалефт</t>
  </si>
  <si>
    <t>Пещера Хоба</t>
  </si>
  <si>
    <t>Провал Сквозняков</t>
  </si>
  <si>
    <t>Драконий Мост</t>
  </si>
  <si>
    <t>Роща Кин</t>
  </si>
  <si>
    <t>Пещера Кронвангр</t>
  </si>
  <si>
    <t>Хибара краболова</t>
  </si>
  <si>
    <t>Хаафингар - Лагерь Братьев Бури</t>
  </si>
  <si>
    <t>Форт Сноухок</t>
  </si>
  <si>
    <t>TundraMarshNoPrecip</t>
  </si>
  <si>
    <t>Теснина Грабителя</t>
  </si>
  <si>
    <t>Камень Змея</t>
  </si>
  <si>
    <t>Хижина Мико</t>
  </si>
  <si>
    <t>Пещера Зеленая Тень</t>
  </si>
  <si>
    <t>Виндхельм - Конюшни</t>
  </si>
  <si>
    <t>Саартал</t>
  </si>
  <si>
    <t>Хьялмарк - Лагерь Братьев Бури</t>
  </si>
  <si>
    <t>Руины Высоких Врат</t>
  </si>
  <si>
    <t>Ферма Кружка Бренди</t>
  </si>
  <si>
    <t>Руины Кьенстаг</t>
  </si>
  <si>
    <t>TundraMarsh</t>
  </si>
  <si>
    <t>Лесопилка Пирожок</t>
  </si>
  <si>
    <t>Ферма Остролист</t>
  </si>
  <si>
    <t>Фолгунтур</t>
  </si>
  <si>
    <t>Поместье Уиндстад</t>
  </si>
  <si>
    <t>Грот Соленая Вода</t>
  </si>
  <si>
    <t>Гробница Исграмора</t>
  </si>
  <si>
    <t>Солитьюд - Маяк</t>
  </si>
  <si>
    <t>CoastFog</t>
  </si>
  <si>
    <t>Речная хижина</t>
  </si>
  <si>
    <t>Курган Ингола</t>
  </si>
  <si>
    <t>Северная сторожевая крепость</t>
  </si>
  <si>
    <t>Нижняя Отвесная нора</t>
  </si>
  <si>
    <t>Пещера Холодный Берег</t>
  </si>
  <si>
    <t>Ферма Хлаалу</t>
  </si>
  <si>
    <t>Логово Моварта</t>
  </si>
  <si>
    <t>Солитьюд - Лесопилка</t>
  </si>
  <si>
    <t>Данстарское убежище</t>
  </si>
  <si>
    <t>Хьялмарк - Имперский лагерь</t>
  </si>
  <si>
    <t>Камень Башни</t>
  </si>
  <si>
    <t>Морфал</t>
  </si>
  <si>
    <t>Воронья нора</t>
  </si>
  <si>
    <t>Заброшенная хижина</t>
  </si>
  <si>
    <t>Место крушения Гордости Тель Воса</t>
  </si>
  <si>
    <t>Грот Сломанное Весло</t>
  </si>
  <si>
    <t>Ferry Drop off Marker</t>
  </si>
  <si>
    <t>Камень Ученика</t>
  </si>
  <si>
    <t>Доки Данстара</t>
  </si>
  <si>
    <t>Причал Ледяных Вод</t>
  </si>
  <si>
    <t>Место крушения Соленого молота</t>
  </si>
  <si>
    <t>Место крушения Бегущего по льду</t>
  </si>
  <si>
    <t>Место крушения Зимней войны</t>
  </si>
  <si>
    <t>Склад Восточной имперской компании</t>
  </si>
  <si>
    <t>Данстар</t>
  </si>
  <si>
    <t>Слеза Сироты</t>
  </si>
  <si>
    <t>Привередливый слоад</t>
  </si>
  <si>
    <t>Солстейм</t>
  </si>
  <si>
    <t>Каприз Хелы</t>
  </si>
  <si>
    <t>Устенгрев</t>
  </si>
  <si>
    <t>Доки Виндхельма</t>
  </si>
  <si>
    <t>Катария</t>
  </si>
  <si>
    <t>Балкон замка Волкихар</t>
  </si>
  <si>
    <t>Пост Септимия Сегония</t>
  </si>
  <si>
    <t>Замок Волкихар</t>
  </si>
  <si>
    <t>Плащ Пилигрима</t>
  </si>
  <si>
    <t>Проход Моэсринг</t>
  </si>
  <si>
    <t>DLC2SolstheimMtns</t>
  </si>
  <si>
    <t>Гора Моэсринг</t>
  </si>
  <si>
    <t>Пик Фрукт</t>
  </si>
  <si>
    <t>DLC2SolstheimSnow</t>
  </si>
  <si>
    <t>Курган Хротмунда</t>
  </si>
  <si>
    <t>Храм Мирака</t>
  </si>
  <si>
    <t>Пик Мортраг</t>
  </si>
  <si>
    <t>Заснеженные руины</t>
  </si>
  <si>
    <t>Курган Белого Хребта</t>
  </si>
  <si>
    <t>Фалбтарз</t>
  </si>
  <si>
    <t>Бенконгерик</t>
  </si>
  <si>
    <t>Пик Хвиткальд</t>
  </si>
  <si>
    <t>Застава Сиринга</t>
  </si>
  <si>
    <t>Источник сталгрима</t>
  </si>
  <si>
    <t>Алтарь Тронда</t>
  </si>
  <si>
    <t>Утес Морозной Луны</t>
  </si>
  <si>
    <t>Камень Зверя</t>
  </si>
  <si>
    <t>Руины замка Карстаг</t>
  </si>
  <si>
    <t>DLC2SolstheimSnowHeavy</t>
  </si>
  <si>
    <t>Заброшенный постоялый двор</t>
  </si>
  <si>
    <t>VolcanicAsh02</t>
  </si>
  <si>
    <t>Гробница Валока</t>
  </si>
  <si>
    <t>Медовый зал Тирска</t>
  </si>
  <si>
    <t>Шахта Сломанный Клык</t>
  </si>
  <si>
    <t>Пещеры замка Карстаг</t>
  </si>
  <si>
    <t>Вершинная башня</t>
  </si>
  <si>
    <t>VolcanicAsh01</t>
  </si>
  <si>
    <t>Старый торговый пост</t>
  </si>
  <si>
    <t>Верховье Харстрада</t>
  </si>
  <si>
    <t>Роща Бродира</t>
  </si>
  <si>
    <t>Пепельная крепость</t>
  </si>
  <si>
    <t>Кагрумез</t>
  </si>
  <si>
    <t>Камень Воды</t>
  </si>
  <si>
    <t>Деревня Скаалов</t>
  </si>
  <si>
    <t>SkaalVillage01</t>
  </si>
  <si>
    <t>4 слота, резист 75%</t>
  </si>
  <si>
    <t>Душная шахта</t>
  </si>
  <si>
    <t>Камень Ветра</t>
  </si>
  <si>
    <t>Тель-Митрин</t>
  </si>
  <si>
    <t>Форт Морозного Мотылька</t>
  </si>
  <si>
    <t>Курган Колбьорн</t>
  </si>
  <si>
    <t>Камень Солнца</t>
  </si>
  <si>
    <t>Дом Хродульфа</t>
  </si>
  <si>
    <t>Остров Хоркеров</t>
  </si>
  <si>
    <t>Пристанище Буйольд</t>
  </si>
  <si>
    <t>Камень Земли</t>
  </si>
  <si>
    <t>RavenRock01</t>
  </si>
  <si>
    <t>Курган Бладскал</t>
  </si>
  <si>
    <t>Пещера Щетиноспин</t>
  </si>
  <si>
    <t>Старая ферма Аттия</t>
  </si>
  <si>
    <t>Курган Гильденхул</t>
  </si>
  <si>
    <t>Воронья Скала</t>
  </si>
  <si>
    <t>Фроссель</t>
  </si>
  <si>
    <t>Ледяная пещера</t>
  </si>
  <si>
    <t>Северная пристань</t>
  </si>
  <si>
    <t>Место крушения Порыва ветра</t>
  </si>
  <si>
    <t>Отмель Хакнира</t>
  </si>
  <si>
    <t>Нчардак</t>
  </si>
  <si>
    <t>Скайрим</t>
  </si>
  <si>
    <t>warmth</t>
  </si>
  <si>
    <t>Как это считается</t>
  </si>
  <si>
    <t>warmth = слоты x 14.67 + резист% x 0.818</t>
  </si>
  <si>
    <t>chill  = max(0, 12 - температура)</t>
  </si>
  <si>
    <t>load   = chill x 0.055 - warmth x 0.010   (сухо, без огня)</t>
  </si>
  <si>
    <t>шкала стремится к 1 - load</t>
  </si>
  <si>
    <t>обратно:  температура = 12 - (1 - равновесие + warmth/100) / 0.055</t>
  </si>
  <si>
    <t>Равновесие можно ставить БОЛЬШЕ 1: это значит 'полная с запасом'.</t>
  </si>
  <si>
    <t>Ровно 1.0 значит 'полная, но без запаса'.</t>
  </si>
  <si>
    <t>Условия всюду одни: день, ясно, сухо, рядом нет огня.</t>
  </si>
  <si>
    <t>Лист на мир. Заполняй любую строку - карта строится по всем, где</t>
  </si>
  <si>
    <t>есть и защита, и равновесие. Перегенерация ответы не затирает:</t>
  </si>
  <si>
    <t>они переносятся ПО КООРДИНАТАМ, с любого листа.</t>
  </si>
  <si>
    <t>Имена берутся из строковых таблиц игры: у Скайрима из тех, что</t>
  </si>
  <si>
    <t>кладёт сборка, у DLC - прямо из Skyrim - Interface.bsa. Если имя</t>
  </si>
  <si>
    <t>не нашлось, строка названа по типу маркера и координатам.</t>
  </si>
  <si>
    <t>Переименовывай как угодно: ответ привязан к месту, а не к</t>
  </si>
  <si>
    <t>подписи, и от переименования не теряется.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</si>
</sst>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164" fontId="1" fillId="0" borderId="0" xfId="0" applyNumberFormat="1" applyFont="1"/>
    <xf numFmtId="0" fontId="0" fillId="3" borderId="0" xfId="0" applyFill="1"/>
    <xf numFmtId="2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tabSelected="1" workbookViewId="0">
      <pane ySplit="1" topLeftCell="A2" activePane="bottomLeft" state="frozen"/>
      <selection pane="bottomLeft" activeCell="A332" sqref="A332:H332"/>
    </sheetView>
  </sheetViews>
  <sheetFormatPr defaultRowHeight="15" x14ac:dyDescent="0.25"/>
  <cols>
    <col min="1" max="1" width="34" customWidth="1"/>
    <col min="2" max="4" width="9" customWidth="1"/>
    <col min="5" max="5" width="11" customWidth="1"/>
    <col min="6" max="6" width="7" customWidth="1"/>
    <col min="7" max="7" width="15" customWidth="1"/>
    <col min="8" max="8" width="21" customWidth="1"/>
    <col min="9" max="9" width="12" customWidth="1"/>
    <col min="10" max="10" width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379</v>
      </c>
      <c r="B2">
        <v>-150233</v>
      </c>
      <c r="C2">
        <v>121670</v>
      </c>
      <c r="D2">
        <v>-13939</v>
      </c>
      <c r="E2">
        <v>-687</v>
      </c>
      <c r="F2" s="2">
        <v>0.05</v>
      </c>
      <c r="G2" t="s">
        <v>316</v>
      </c>
      <c r="H2" s="6"/>
      <c r="I2" s="7"/>
      <c r="J2" s="5" t="str">
        <f>IFERROR(12-(1-I2+VLOOKUP(H2,Справка!$A$2:$B$7,2,FALSE)/100)/0.055,"")</f>
        <v/>
      </c>
    </row>
    <row r="3" spans="1:10" x14ac:dyDescent="0.25">
      <c r="A3" t="s">
        <v>36</v>
      </c>
      <c r="B3">
        <v>122073</v>
      </c>
      <c r="C3">
        <v>-107290</v>
      </c>
      <c r="D3">
        <v>13172</v>
      </c>
      <c r="E3">
        <v>-4523</v>
      </c>
      <c r="F3" s="2">
        <v>0</v>
      </c>
      <c r="G3" t="s">
        <v>16</v>
      </c>
      <c r="H3" s="6"/>
      <c r="I3" s="7"/>
      <c r="J3" s="5" t="str">
        <f>IFERROR(12-(1-I3+VLOOKUP(H3,Справка!$A$2:$B$7,2,FALSE)/100)/0.055,"")</f>
        <v/>
      </c>
    </row>
    <row r="4" spans="1:10" x14ac:dyDescent="0.25">
      <c r="A4" t="s">
        <v>67</v>
      </c>
      <c r="B4">
        <v>76375</v>
      </c>
      <c r="C4">
        <v>-64263</v>
      </c>
      <c r="D4">
        <v>10816</v>
      </c>
      <c r="E4">
        <v>-3697</v>
      </c>
      <c r="F4" s="2">
        <v>0</v>
      </c>
      <c r="G4" t="s">
        <v>16</v>
      </c>
      <c r="H4" s="3" t="s">
        <v>17</v>
      </c>
      <c r="I4" s="4">
        <v>0.75</v>
      </c>
      <c r="J4" s="5">
        <f>IFERROR(12-(1-I4+VLOOKUP(H4,Справка!$A$2:$B$7,2,FALSE)/100)/0.055,"")</f>
        <v>-3.2145454545454548</v>
      </c>
    </row>
    <row r="5" spans="1:10" x14ac:dyDescent="0.25">
      <c r="A5" t="s">
        <v>128</v>
      </c>
      <c r="B5">
        <v>-5305</v>
      </c>
      <c r="C5">
        <v>48249</v>
      </c>
      <c r="D5">
        <v>332</v>
      </c>
      <c r="E5">
        <v>4221</v>
      </c>
      <c r="F5" s="2">
        <v>0.96</v>
      </c>
      <c r="G5" t="s">
        <v>26</v>
      </c>
      <c r="H5" s="3" t="s">
        <v>12</v>
      </c>
      <c r="I5" s="4">
        <v>0.75</v>
      </c>
      <c r="J5" s="5">
        <f>IFERROR(12-(1-I5+VLOOKUP(H5,Справка!$A$2:$B$7,2,FALSE)/100)/0.055,"")</f>
        <v>-18.087272727272723</v>
      </c>
    </row>
    <row r="6" spans="1:10" x14ac:dyDescent="0.25">
      <c r="A6" t="s">
        <v>206</v>
      </c>
      <c r="B6">
        <v>78347</v>
      </c>
      <c r="C6">
        <v>77409</v>
      </c>
      <c r="D6">
        <v>-4621</v>
      </c>
      <c r="E6">
        <v>-1061</v>
      </c>
      <c r="F6" s="2">
        <v>1</v>
      </c>
      <c r="G6" t="s">
        <v>26</v>
      </c>
      <c r="H6" s="6"/>
      <c r="I6" s="7"/>
      <c r="J6" s="5" t="str">
        <f>IFERROR(12-(1-I6+VLOOKUP(H6,Справка!$A$2:$B$7,2,FALSE)/100)/0.055,"")</f>
        <v/>
      </c>
    </row>
    <row r="7" spans="1:10" x14ac:dyDescent="0.25">
      <c r="A7" t="s">
        <v>31</v>
      </c>
      <c r="B7">
        <v>113491</v>
      </c>
      <c r="C7">
        <v>-97167</v>
      </c>
      <c r="D7">
        <v>13467</v>
      </c>
      <c r="E7">
        <v>-2521</v>
      </c>
      <c r="F7" s="2">
        <v>0</v>
      </c>
      <c r="G7" t="s">
        <v>16</v>
      </c>
      <c r="H7" s="6"/>
      <c r="I7" s="7"/>
      <c r="J7" s="5" t="str">
        <f>IFERROR(12-(1-I7+VLOOKUP(H7,Справка!$A$2:$B$7,2,FALSE)/100)/0.055,"")</f>
        <v/>
      </c>
    </row>
    <row r="8" spans="1:10" x14ac:dyDescent="0.25">
      <c r="A8" t="s">
        <v>136</v>
      </c>
      <c r="B8">
        <v>174572</v>
      </c>
      <c r="C8">
        <v>-35183</v>
      </c>
      <c r="D8">
        <v>-74</v>
      </c>
      <c r="E8">
        <v>-2468</v>
      </c>
      <c r="F8" s="2">
        <v>0.2</v>
      </c>
      <c r="G8" t="s">
        <v>26</v>
      </c>
      <c r="H8" s="6"/>
      <c r="I8" s="7"/>
      <c r="J8" s="5" t="str">
        <f>IFERROR(12-(1-I8+VLOOKUP(H8,Справка!$A$2:$B$7,2,FALSE)/100)/0.055,"")</f>
        <v/>
      </c>
    </row>
    <row r="9" spans="1:10" x14ac:dyDescent="0.25">
      <c r="A9" t="s">
        <v>120</v>
      </c>
      <c r="B9">
        <v>-139019</v>
      </c>
      <c r="C9">
        <v>-31985</v>
      </c>
      <c r="D9">
        <v>894</v>
      </c>
      <c r="E9">
        <v>-3063</v>
      </c>
      <c r="F9" s="2">
        <v>0</v>
      </c>
      <c r="G9" t="s">
        <v>89</v>
      </c>
      <c r="H9" s="6"/>
      <c r="I9" s="7"/>
      <c r="J9" s="5" t="str">
        <f>IFERROR(12-(1-I9+VLOOKUP(H9,Справка!$A$2:$B$7,2,FALSE)/100)/0.055,"")</f>
        <v/>
      </c>
    </row>
    <row r="10" spans="1:10" x14ac:dyDescent="0.25">
      <c r="A10" t="s">
        <v>255</v>
      </c>
      <c r="B10">
        <v>67923</v>
      </c>
      <c r="C10">
        <v>30778</v>
      </c>
      <c r="D10">
        <v>-7145</v>
      </c>
      <c r="E10">
        <v>-2093</v>
      </c>
      <c r="F10" s="2">
        <v>0.84</v>
      </c>
      <c r="G10" t="s">
        <v>26</v>
      </c>
      <c r="H10" s="6"/>
      <c r="I10" s="7"/>
      <c r="J10" s="5" t="str">
        <f>IFERROR(12-(1-I10+VLOOKUP(H10,Справка!$A$2:$B$7,2,FALSE)/100)/0.055,"")</f>
        <v/>
      </c>
    </row>
    <row r="11" spans="1:10" x14ac:dyDescent="0.25">
      <c r="A11" t="s">
        <v>395</v>
      </c>
      <c r="B11">
        <v>-168932</v>
      </c>
      <c r="C11">
        <v>149155</v>
      </c>
      <c r="D11">
        <v>-15429</v>
      </c>
      <c r="E11">
        <v>731</v>
      </c>
      <c r="F11" s="2">
        <v>0</v>
      </c>
      <c r="G11" t="s">
        <v>43</v>
      </c>
      <c r="H11" s="6"/>
      <c r="I11" s="7"/>
      <c r="J11" s="5" t="str">
        <f>IFERROR(12-(1-I11+VLOOKUP(H11,Справка!$A$2:$B$7,2,FALSE)/100)/0.055,"")</f>
        <v/>
      </c>
    </row>
    <row r="12" spans="1:10" x14ac:dyDescent="0.25">
      <c r="A12" t="s">
        <v>217</v>
      </c>
      <c r="B12">
        <v>74450</v>
      </c>
      <c r="C12">
        <v>-1044</v>
      </c>
      <c r="D12">
        <v>-5200</v>
      </c>
      <c r="E12">
        <v>-2971</v>
      </c>
      <c r="F12" s="2">
        <v>0</v>
      </c>
      <c r="G12" t="s">
        <v>108</v>
      </c>
      <c r="H12" s="6"/>
      <c r="I12" s="7"/>
      <c r="J12" s="5" t="str">
        <f>IFERROR(12-(1-I12+VLOOKUP(H12,Справка!$A$2:$B$7,2,FALSE)/100)/0.055,"")</f>
        <v/>
      </c>
    </row>
    <row r="13" spans="1:10" x14ac:dyDescent="0.25">
      <c r="A13" t="s">
        <v>118</v>
      </c>
      <c r="B13">
        <v>-57305</v>
      </c>
      <c r="C13">
        <v>-62109</v>
      </c>
      <c r="D13">
        <v>908</v>
      </c>
      <c r="E13">
        <v>840</v>
      </c>
      <c r="F13" s="2">
        <v>0</v>
      </c>
      <c r="G13" t="s">
        <v>35</v>
      </c>
      <c r="H13" s="6"/>
      <c r="I13" s="7"/>
      <c r="J13" s="5" t="str">
        <f>IFERROR(12-(1-I13+VLOOKUP(H13,Справка!$A$2:$B$7,2,FALSE)/100)/0.055,"")</f>
        <v/>
      </c>
    </row>
    <row r="14" spans="1:10" x14ac:dyDescent="0.25">
      <c r="A14" t="s">
        <v>203</v>
      </c>
      <c r="B14">
        <v>-142901</v>
      </c>
      <c r="C14">
        <v>99301</v>
      </c>
      <c r="D14">
        <v>-4568</v>
      </c>
      <c r="E14">
        <v>3216</v>
      </c>
      <c r="F14" s="2">
        <v>0.98</v>
      </c>
      <c r="G14" t="s">
        <v>11</v>
      </c>
      <c r="H14" s="6"/>
      <c r="I14" s="7"/>
      <c r="J14" s="5" t="str">
        <f>IFERROR(12-(1-I14+VLOOKUP(H14,Справка!$A$2:$B$7,2,FALSE)/100)/0.055,"")</f>
        <v/>
      </c>
    </row>
    <row r="15" spans="1:10" x14ac:dyDescent="0.25">
      <c r="A15" t="s">
        <v>98</v>
      </c>
      <c r="B15">
        <v>-99713</v>
      </c>
      <c r="C15">
        <v>-33861</v>
      </c>
      <c r="D15">
        <v>2528</v>
      </c>
      <c r="E15">
        <v>1406</v>
      </c>
      <c r="F15" s="2">
        <v>0</v>
      </c>
      <c r="G15" t="s">
        <v>89</v>
      </c>
      <c r="H15" s="6"/>
      <c r="I15" s="7"/>
      <c r="J15" s="5" t="str">
        <f>IFERROR(12-(1-I15+VLOOKUP(H15,Справка!$A$2:$B$7,2,FALSE)/100)/0.055,"")</f>
        <v/>
      </c>
    </row>
    <row r="16" spans="1:10" x14ac:dyDescent="0.25">
      <c r="A16" t="s">
        <v>208</v>
      </c>
      <c r="B16">
        <v>25834</v>
      </c>
      <c r="C16">
        <v>45696</v>
      </c>
      <c r="D16">
        <v>-4949</v>
      </c>
      <c r="E16">
        <v>641</v>
      </c>
      <c r="F16" s="2">
        <v>0.88</v>
      </c>
      <c r="G16" t="s">
        <v>26</v>
      </c>
      <c r="H16" s="6"/>
      <c r="I16" s="7"/>
      <c r="J16" s="5" t="str">
        <f>IFERROR(12-(1-I16+VLOOKUP(H16,Справка!$A$2:$B$7,2,FALSE)/100)/0.055,"")</f>
        <v/>
      </c>
    </row>
    <row r="17" spans="1:10" x14ac:dyDescent="0.25">
      <c r="A17" t="s">
        <v>44</v>
      </c>
      <c r="B17">
        <v>149285</v>
      </c>
      <c r="C17">
        <v>-115997</v>
      </c>
      <c r="D17">
        <v>12250</v>
      </c>
      <c r="E17">
        <v>-3054</v>
      </c>
      <c r="F17" s="2">
        <v>0</v>
      </c>
      <c r="G17" t="s">
        <v>30</v>
      </c>
      <c r="H17" s="6"/>
      <c r="I17" s="7"/>
      <c r="J17" s="5" t="str">
        <f>IFERROR(12-(1-I17+VLOOKUP(H17,Справка!$A$2:$B$7,2,FALSE)/100)/0.055,"")</f>
        <v/>
      </c>
    </row>
    <row r="18" spans="1:10" x14ac:dyDescent="0.25">
      <c r="A18" t="s">
        <v>214</v>
      </c>
      <c r="B18">
        <v>31343</v>
      </c>
      <c r="C18">
        <v>12926</v>
      </c>
      <c r="D18">
        <v>-5025</v>
      </c>
      <c r="E18">
        <v>-337</v>
      </c>
      <c r="F18" s="2">
        <v>0</v>
      </c>
      <c r="G18" t="s">
        <v>108</v>
      </c>
      <c r="H18" s="6"/>
      <c r="I18" s="7"/>
      <c r="J18" s="5" t="str">
        <f>IFERROR(12-(1-I18+VLOOKUP(H18,Справка!$A$2:$B$7,2,FALSE)/100)/0.055,"")</f>
        <v/>
      </c>
    </row>
    <row r="19" spans="1:10" x14ac:dyDescent="0.25">
      <c r="A19" t="s">
        <v>321</v>
      </c>
      <c r="B19">
        <v>-2159</v>
      </c>
      <c r="C19">
        <v>101149</v>
      </c>
      <c r="D19">
        <v>-11131</v>
      </c>
      <c r="E19">
        <v>1228</v>
      </c>
      <c r="F19" s="2">
        <v>0.96</v>
      </c>
      <c r="G19" t="s">
        <v>26</v>
      </c>
      <c r="H19" s="6"/>
      <c r="I19" s="7"/>
      <c r="J19" s="5" t="str">
        <f>IFERROR(12-(1-I19+VLOOKUP(H19,Справка!$A$2:$B$7,2,FALSE)/100)/0.055,"")</f>
        <v/>
      </c>
    </row>
    <row r="20" spans="1:10" x14ac:dyDescent="0.25">
      <c r="A20" t="s">
        <v>283</v>
      </c>
      <c r="B20">
        <v>87884</v>
      </c>
      <c r="C20">
        <v>35186</v>
      </c>
      <c r="D20">
        <v>-8439</v>
      </c>
      <c r="E20">
        <v>-2259</v>
      </c>
      <c r="F20" s="2">
        <v>0.98</v>
      </c>
      <c r="G20" t="s">
        <v>26</v>
      </c>
      <c r="H20" s="6"/>
      <c r="I20" s="7"/>
      <c r="J20" s="5" t="str">
        <f>IFERROR(12-(1-I20+VLOOKUP(H20,Справка!$A$2:$B$7,2,FALSE)/100)/0.055,"")</f>
        <v/>
      </c>
    </row>
    <row r="21" spans="1:10" x14ac:dyDescent="0.25">
      <c r="A21" t="s">
        <v>187</v>
      </c>
      <c r="B21">
        <v>-163984</v>
      </c>
      <c r="C21">
        <v>45862</v>
      </c>
      <c r="D21">
        <v>-4276</v>
      </c>
      <c r="E21">
        <v>-2700</v>
      </c>
      <c r="F21" s="2">
        <v>0.01</v>
      </c>
      <c r="G21" t="s">
        <v>89</v>
      </c>
      <c r="H21" s="6"/>
      <c r="I21" s="7"/>
      <c r="J21" s="5" t="str">
        <f>IFERROR(12-(1-I21+VLOOKUP(H21,Справка!$A$2:$B$7,2,FALSE)/100)/0.055,"")</f>
        <v/>
      </c>
    </row>
    <row r="22" spans="1:10" x14ac:dyDescent="0.25">
      <c r="A22" t="s">
        <v>179</v>
      </c>
      <c r="B22">
        <v>25408</v>
      </c>
      <c r="C22">
        <v>-19613</v>
      </c>
      <c r="D22">
        <v>-3845</v>
      </c>
      <c r="E22">
        <v>-2418</v>
      </c>
      <c r="F22" s="2">
        <v>0</v>
      </c>
      <c r="G22" t="s">
        <v>108</v>
      </c>
      <c r="H22" s="6"/>
      <c r="I22" s="7"/>
      <c r="J22" s="5" t="str">
        <f>IFERROR(12-(1-I22+VLOOKUP(H22,Справка!$A$2:$B$7,2,FALSE)/100)/0.055,"")</f>
        <v/>
      </c>
    </row>
    <row r="23" spans="1:10" x14ac:dyDescent="0.25">
      <c r="A23" t="s">
        <v>179</v>
      </c>
      <c r="B23">
        <v>25243</v>
      </c>
      <c r="C23">
        <v>-19528</v>
      </c>
      <c r="D23">
        <v>-3874</v>
      </c>
      <c r="E23">
        <v>-2448</v>
      </c>
      <c r="F23" s="2">
        <v>0</v>
      </c>
      <c r="G23" t="s">
        <v>108</v>
      </c>
      <c r="H23" s="6"/>
      <c r="I23" s="7"/>
      <c r="J23" s="5" t="str">
        <f>IFERROR(12-(1-I23+VLOOKUP(H23,Справка!$A$2:$B$7,2,FALSE)/100)/0.055,"")</f>
        <v/>
      </c>
    </row>
    <row r="24" spans="1:10" x14ac:dyDescent="0.25">
      <c r="A24" t="s">
        <v>223</v>
      </c>
      <c r="B24">
        <v>-62784</v>
      </c>
      <c r="C24">
        <v>2444</v>
      </c>
      <c r="D24">
        <v>-5448</v>
      </c>
      <c r="E24">
        <v>-109</v>
      </c>
      <c r="F24" s="2">
        <v>0</v>
      </c>
      <c r="G24" t="s">
        <v>108</v>
      </c>
      <c r="H24" s="6"/>
      <c r="I24" s="7"/>
      <c r="J24" s="5" t="str">
        <f>IFERROR(12-(1-I24+VLOOKUP(H24,Справка!$A$2:$B$7,2,FALSE)/100)/0.055,"")</f>
        <v/>
      </c>
    </row>
    <row r="25" spans="1:10" x14ac:dyDescent="0.25">
      <c r="A25" t="s">
        <v>205</v>
      </c>
      <c r="B25">
        <v>18313</v>
      </c>
      <c r="C25">
        <v>-10665</v>
      </c>
      <c r="D25">
        <v>-4616</v>
      </c>
      <c r="E25">
        <v>-672</v>
      </c>
      <c r="F25" s="2">
        <v>0</v>
      </c>
      <c r="G25" t="s">
        <v>108</v>
      </c>
      <c r="H25" s="3" t="s">
        <v>17</v>
      </c>
      <c r="I25" s="4">
        <v>0.85</v>
      </c>
      <c r="J25" s="5">
        <f>IFERROR(12-(1-I25+VLOOKUP(H25,Справка!$A$2:$B$7,2,FALSE)/100)/0.055,"")</f>
        <v>-1.3963636363636365</v>
      </c>
    </row>
    <row r="26" spans="1:10" x14ac:dyDescent="0.25">
      <c r="A26" t="s">
        <v>145</v>
      </c>
      <c r="B26">
        <v>51980</v>
      </c>
      <c r="C26">
        <v>-16247</v>
      </c>
      <c r="D26">
        <v>-697</v>
      </c>
      <c r="E26">
        <v>-2295</v>
      </c>
      <c r="F26" s="2">
        <v>0.12</v>
      </c>
      <c r="G26" t="s">
        <v>108</v>
      </c>
      <c r="H26" s="6"/>
      <c r="I26" s="7"/>
      <c r="J26" s="5" t="str">
        <f>IFERROR(12-(1-I26+VLOOKUP(H26,Справка!$A$2:$B$7,2,FALSE)/100)/0.055,"")</f>
        <v/>
      </c>
    </row>
    <row r="27" spans="1:10" x14ac:dyDescent="0.25">
      <c r="A27" t="s">
        <v>130</v>
      </c>
      <c r="B27">
        <v>-114984</v>
      </c>
      <c r="C27">
        <v>-31214</v>
      </c>
      <c r="D27">
        <v>28</v>
      </c>
      <c r="E27">
        <v>-1267</v>
      </c>
      <c r="F27" s="2">
        <v>0</v>
      </c>
      <c r="G27" t="s">
        <v>89</v>
      </c>
      <c r="H27" s="6"/>
      <c r="I27" s="7"/>
      <c r="J27" s="5" t="str">
        <f>IFERROR(12-(1-I27+VLOOKUP(H27,Справка!$A$2:$B$7,2,FALSE)/100)/0.055,"")</f>
        <v/>
      </c>
    </row>
    <row r="28" spans="1:10" x14ac:dyDescent="0.25">
      <c r="A28" t="s">
        <v>95</v>
      </c>
      <c r="B28">
        <v>-173318</v>
      </c>
      <c r="C28">
        <v>-17116</v>
      </c>
      <c r="D28">
        <v>3265</v>
      </c>
      <c r="E28">
        <v>-3414</v>
      </c>
      <c r="F28" s="2">
        <v>0</v>
      </c>
      <c r="G28" t="s">
        <v>89</v>
      </c>
      <c r="H28" s="6"/>
      <c r="I28" s="7"/>
      <c r="J28" s="5" t="str">
        <f>IFERROR(12-(1-I28+VLOOKUP(H28,Справка!$A$2:$B$7,2,FALSE)/100)/0.055,"")</f>
        <v/>
      </c>
    </row>
    <row r="29" spans="1:10" x14ac:dyDescent="0.25">
      <c r="A29" t="s">
        <v>34</v>
      </c>
      <c r="B29">
        <v>151003</v>
      </c>
      <c r="C29">
        <v>-53453</v>
      </c>
      <c r="D29">
        <v>13176</v>
      </c>
      <c r="E29">
        <v>5792</v>
      </c>
      <c r="F29" s="2">
        <v>0</v>
      </c>
      <c r="G29" t="s">
        <v>35</v>
      </c>
      <c r="H29" s="6"/>
      <c r="I29" s="7"/>
      <c r="J29" s="5" t="str">
        <f>IFERROR(12-(1-I29+VLOOKUP(H29,Справка!$A$2:$B$7,2,FALSE)/100)/0.055,"")</f>
        <v/>
      </c>
    </row>
    <row r="30" spans="1:10" x14ac:dyDescent="0.25">
      <c r="A30" t="s">
        <v>60</v>
      </c>
      <c r="B30">
        <v>166304</v>
      </c>
      <c r="C30">
        <v>-88702</v>
      </c>
      <c r="D30">
        <v>11046</v>
      </c>
      <c r="E30">
        <v>768</v>
      </c>
      <c r="F30" s="2">
        <v>0</v>
      </c>
      <c r="G30" t="s">
        <v>59</v>
      </c>
      <c r="H30" s="6"/>
      <c r="I30" s="7"/>
      <c r="J30" s="5" t="str">
        <f>IFERROR(12-(1-I30+VLOOKUP(H30,Справка!$A$2:$B$7,2,FALSE)/100)/0.055,"")</f>
        <v/>
      </c>
    </row>
    <row r="31" spans="1:10" x14ac:dyDescent="0.25">
      <c r="A31" t="s">
        <v>92</v>
      </c>
      <c r="B31">
        <v>1482</v>
      </c>
      <c r="C31">
        <v>-41162</v>
      </c>
      <c r="D31">
        <v>4470</v>
      </c>
      <c r="E31">
        <v>2436</v>
      </c>
      <c r="F31" s="2">
        <v>0.98</v>
      </c>
      <c r="G31" t="s">
        <v>11</v>
      </c>
      <c r="H31" s="3" t="s">
        <v>14</v>
      </c>
      <c r="I31" s="4">
        <v>0.25</v>
      </c>
      <c r="J31" s="5">
        <f>IFERROR(12-(1-I31+VLOOKUP(H31,Справка!$A$2:$B$7,2,FALSE)/100)/0.055,"")</f>
        <v>-19.741818181818182</v>
      </c>
    </row>
    <row r="32" spans="1:10" x14ac:dyDescent="0.25">
      <c r="A32" t="s">
        <v>22</v>
      </c>
      <c r="B32">
        <v>66950</v>
      </c>
      <c r="C32">
        <v>-99471</v>
      </c>
      <c r="D32">
        <v>15816</v>
      </c>
      <c r="E32">
        <v>-3754</v>
      </c>
      <c r="F32" s="2">
        <v>0.98</v>
      </c>
      <c r="G32" t="s">
        <v>11</v>
      </c>
      <c r="H32" s="3" t="s">
        <v>19</v>
      </c>
      <c r="I32" s="4">
        <v>0.7</v>
      </c>
      <c r="J32" s="5">
        <f>IFERROR(12-(1-I32+VLOOKUP(H32,Справка!$A$2:$B$7,2,FALSE)/100)/0.055,"")</f>
        <v>-7.84181818181818</v>
      </c>
    </row>
    <row r="33" spans="1:10" x14ac:dyDescent="0.25">
      <c r="A33" t="s">
        <v>218</v>
      </c>
      <c r="B33">
        <v>-154519</v>
      </c>
      <c r="C33">
        <v>72471</v>
      </c>
      <c r="D33">
        <v>-5248</v>
      </c>
      <c r="E33">
        <v>-105</v>
      </c>
      <c r="F33" s="2">
        <v>0.51</v>
      </c>
      <c r="G33" t="s">
        <v>89</v>
      </c>
      <c r="H33" s="6"/>
      <c r="I33" s="7"/>
      <c r="J33" s="5" t="str">
        <f>IFERROR(12-(1-I33+VLOOKUP(H33,Справка!$A$2:$B$7,2,FALSE)/100)/0.055,"")</f>
        <v/>
      </c>
    </row>
    <row r="34" spans="1:10" x14ac:dyDescent="0.25">
      <c r="A34" t="s">
        <v>149</v>
      </c>
      <c r="B34">
        <v>-51018</v>
      </c>
      <c r="C34">
        <v>-67845</v>
      </c>
      <c r="D34">
        <v>-1046</v>
      </c>
      <c r="E34">
        <v>-644</v>
      </c>
      <c r="F34" s="2">
        <v>0</v>
      </c>
      <c r="G34" t="s">
        <v>35</v>
      </c>
      <c r="H34" s="6"/>
      <c r="I34" s="7"/>
      <c r="J34" s="5" t="str">
        <f>IFERROR(12-(1-I34+VLOOKUP(H34,Справка!$A$2:$B$7,2,FALSE)/100)/0.055,"")</f>
        <v/>
      </c>
    </row>
    <row r="35" spans="1:10" x14ac:dyDescent="0.25">
      <c r="A35" t="s">
        <v>310</v>
      </c>
      <c r="B35">
        <v>147889</v>
      </c>
      <c r="C35">
        <v>25487</v>
      </c>
      <c r="D35">
        <v>-10113</v>
      </c>
      <c r="E35">
        <v>-874</v>
      </c>
      <c r="F35" s="2">
        <v>0.93</v>
      </c>
      <c r="G35" t="s">
        <v>26</v>
      </c>
      <c r="H35" s="6"/>
      <c r="I35" s="7"/>
      <c r="J35" s="5" t="str">
        <f>IFERROR(12-(1-I35+VLOOKUP(H35,Справка!$A$2:$B$7,2,FALSE)/100)/0.055,"")</f>
        <v/>
      </c>
    </row>
    <row r="36" spans="1:10" x14ac:dyDescent="0.25">
      <c r="A36" t="s">
        <v>310</v>
      </c>
      <c r="B36">
        <v>147993</v>
      </c>
      <c r="C36">
        <v>25449</v>
      </c>
      <c r="D36">
        <v>-10117</v>
      </c>
      <c r="E36">
        <v>-879</v>
      </c>
      <c r="F36" s="2">
        <v>0.93</v>
      </c>
      <c r="G36" t="s">
        <v>26</v>
      </c>
      <c r="H36" s="6"/>
      <c r="I36" s="7"/>
      <c r="J36" s="5" t="str">
        <f>IFERROR(12-(1-I36+VLOOKUP(H36,Справка!$A$2:$B$7,2,FALSE)/100)/0.055,"")</f>
        <v/>
      </c>
    </row>
    <row r="37" spans="1:10" x14ac:dyDescent="0.25">
      <c r="A37" t="s">
        <v>348</v>
      </c>
      <c r="B37">
        <v>135886</v>
      </c>
      <c r="C37">
        <v>26101</v>
      </c>
      <c r="D37">
        <v>-12736</v>
      </c>
      <c r="E37">
        <v>-1213</v>
      </c>
      <c r="F37" s="2">
        <v>1</v>
      </c>
      <c r="G37" t="s">
        <v>26</v>
      </c>
      <c r="H37" s="3" t="s">
        <v>14</v>
      </c>
      <c r="I37" s="4">
        <v>0.85</v>
      </c>
      <c r="J37" s="5">
        <f>IFERROR(12-(1-I37+VLOOKUP(H37,Справка!$A$2:$B$7,2,FALSE)/100)/0.055,"")</f>
        <v>-8.8327272727272721</v>
      </c>
    </row>
    <row r="38" spans="1:10" x14ac:dyDescent="0.25">
      <c r="A38" t="s">
        <v>291</v>
      </c>
      <c r="B38">
        <v>109208</v>
      </c>
      <c r="C38">
        <v>102864</v>
      </c>
      <c r="D38">
        <v>-9031</v>
      </c>
      <c r="E38">
        <v>1980</v>
      </c>
      <c r="F38" s="2">
        <v>0.99</v>
      </c>
      <c r="G38" t="s">
        <v>292</v>
      </c>
      <c r="H38" s="3" t="s">
        <v>14</v>
      </c>
      <c r="I38" s="4">
        <v>0.75</v>
      </c>
      <c r="J38" s="5">
        <f>IFERROR(12-(1-I38+VLOOKUP(H38,Справка!$A$2:$B$7,2,FALSE)/100)/0.055,"")</f>
        <v>-10.650909090909092</v>
      </c>
    </row>
    <row r="39" spans="1:10" x14ac:dyDescent="0.25">
      <c r="A39" t="s">
        <v>250</v>
      </c>
      <c r="B39">
        <v>51948</v>
      </c>
      <c r="C39">
        <v>95472</v>
      </c>
      <c r="D39">
        <v>-6928</v>
      </c>
      <c r="E39">
        <v>2272</v>
      </c>
      <c r="F39" s="2">
        <v>0.99</v>
      </c>
      <c r="G39" t="s">
        <v>26</v>
      </c>
      <c r="H39" s="6"/>
      <c r="I39" s="7"/>
      <c r="J39" s="5" t="str">
        <f>IFERROR(12-(1-I39+VLOOKUP(H39,Справка!$A$2:$B$7,2,FALSE)/100)/0.055,"")</f>
        <v/>
      </c>
    </row>
    <row r="40" spans="1:10" x14ac:dyDescent="0.25">
      <c r="A40" t="s">
        <v>325</v>
      </c>
      <c r="B40">
        <v>145204</v>
      </c>
      <c r="C40">
        <v>55116</v>
      </c>
      <c r="D40">
        <v>-11394</v>
      </c>
      <c r="E40">
        <v>-309</v>
      </c>
      <c r="F40" s="2">
        <v>0.99</v>
      </c>
      <c r="G40" t="s">
        <v>26</v>
      </c>
      <c r="H40" s="6"/>
      <c r="I40" s="7"/>
      <c r="J40" s="5" t="str">
        <f>IFERROR(12-(1-I40+VLOOKUP(H40,Справка!$A$2:$B$7,2,FALSE)/100)/0.055,"")</f>
        <v/>
      </c>
    </row>
    <row r="41" spans="1:10" x14ac:dyDescent="0.25">
      <c r="A41" t="s">
        <v>276</v>
      </c>
      <c r="B41">
        <v>100514</v>
      </c>
      <c r="C41">
        <v>5878</v>
      </c>
      <c r="D41">
        <v>-8114</v>
      </c>
      <c r="E41">
        <v>-566</v>
      </c>
      <c r="F41" s="2">
        <v>0.4</v>
      </c>
      <c r="G41" t="s">
        <v>26</v>
      </c>
      <c r="H41" s="6"/>
      <c r="I41" s="7"/>
      <c r="J41" s="5" t="str">
        <f>IFERROR(12-(1-I41+VLOOKUP(H41,Справка!$A$2:$B$7,2,FALSE)/100)/0.055,"")</f>
        <v/>
      </c>
    </row>
    <row r="42" spans="1:10" x14ac:dyDescent="0.25">
      <c r="A42" t="s">
        <v>232</v>
      </c>
      <c r="B42">
        <v>1539</v>
      </c>
      <c r="C42">
        <v>1306</v>
      </c>
      <c r="D42">
        <v>-5930</v>
      </c>
      <c r="E42">
        <v>-461</v>
      </c>
      <c r="F42" s="2">
        <v>0</v>
      </c>
      <c r="G42" t="s">
        <v>108</v>
      </c>
      <c r="H42" s="6"/>
      <c r="I42" s="7"/>
      <c r="J42" s="5" t="str">
        <f>IFERROR(12-(1-I42+VLOOKUP(H42,Справка!$A$2:$B$7,2,FALSE)/100)/0.055,"")</f>
        <v/>
      </c>
    </row>
    <row r="43" spans="1:10" x14ac:dyDescent="0.25">
      <c r="A43" t="s">
        <v>153</v>
      </c>
      <c r="B43">
        <v>10419</v>
      </c>
      <c r="C43">
        <v>31080</v>
      </c>
      <c r="D43">
        <v>-1536</v>
      </c>
      <c r="E43">
        <v>875</v>
      </c>
      <c r="F43" s="2">
        <v>0.7</v>
      </c>
      <c r="G43" t="s">
        <v>26</v>
      </c>
      <c r="H43" s="6"/>
      <c r="I43" s="7"/>
      <c r="J43" s="5" t="str">
        <f>IFERROR(12-(1-I43+VLOOKUP(H43,Справка!$A$2:$B$7,2,FALSE)/100)/0.055,"")</f>
        <v/>
      </c>
    </row>
    <row r="44" spans="1:10" x14ac:dyDescent="0.25">
      <c r="A44" t="s">
        <v>254</v>
      </c>
      <c r="B44">
        <v>-130324</v>
      </c>
      <c r="C44">
        <v>92287</v>
      </c>
      <c r="D44">
        <v>-7063</v>
      </c>
      <c r="E44">
        <v>-656</v>
      </c>
      <c r="F44" s="2">
        <v>0.3</v>
      </c>
      <c r="G44" t="s">
        <v>108</v>
      </c>
      <c r="H44" s="6"/>
      <c r="I44" s="7"/>
      <c r="J44" s="5" t="str">
        <f>IFERROR(12-(1-I44+VLOOKUP(H44,Справка!$A$2:$B$7,2,FALSE)/100)/0.055,"")</f>
        <v/>
      </c>
    </row>
    <row r="45" spans="1:10" x14ac:dyDescent="0.25">
      <c r="A45" t="s">
        <v>375</v>
      </c>
      <c r="B45">
        <v>-91591</v>
      </c>
      <c r="C45">
        <v>126460</v>
      </c>
      <c r="D45">
        <v>-13891</v>
      </c>
      <c r="E45">
        <v>-3870</v>
      </c>
      <c r="F45" s="2">
        <v>0.26</v>
      </c>
      <c r="G45" t="s">
        <v>316</v>
      </c>
      <c r="H45" s="6"/>
      <c r="I45" s="7"/>
      <c r="J45" s="5" t="str">
        <f>IFERROR(12-(1-I45+VLOOKUP(H45,Справка!$A$2:$B$7,2,FALSE)/100)/0.055,"")</f>
        <v/>
      </c>
    </row>
    <row r="46" spans="1:10" x14ac:dyDescent="0.25">
      <c r="A46" t="s">
        <v>13</v>
      </c>
      <c r="B46">
        <v>52071</v>
      </c>
      <c r="C46">
        <v>-36267</v>
      </c>
      <c r="D46">
        <v>22839</v>
      </c>
      <c r="E46">
        <v>7758</v>
      </c>
      <c r="F46" s="2">
        <v>1</v>
      </c>
      <c r="G46" t="s">
        <v>11</v>
      </c>
      <c r="H46" s="3" t="s">
        <v>14</v>
      </c>
      <c r="I46" s="4">
        <v>0.15</v>
      </c>
      <c r="J46" s="5">
        <f>IFERROR(12-(1-I46+VLOOKUP(H46,Справка!$A$2:$B$7,2,FALSE)/100)/0.055,"")</f>
        <v>-21.560000000000002</v>
      </c>
    </row>
    <row r="47" spans="1:10" x14ac:dyDescent="0.25">
      <c r="A47" t="s">
        <v>268</v>
      </c>
      <c r="B47">
        <v>-104248</v>
      </c>
      <c r="C47">
        <v>68533</v>
      </c>
      <c r="D47">
        <v>-7763</v>
      </c>
      <c r="E47">
        <v>2384</v>
      </c>
      <c r="F47" s="2">
        <v>0</v>
      </c>
      <c r="G47" t="s">
        <v>108</v>
      </c>
      <c r="H47" s="6"/>
      <c r="I47" s="7"/>
      <c r="J47" s="5" t="str">
        <f>IFERROR(12-(1-I47+VLOOKUP(H47,Справка!$A$2:$B$7,2,FALSE)/100)/0.055,"")</f>
        <v/>
      </c>
    </row>
    <row r="48" spans="1:10" x14ac:dyDescent="0.25">
      <c r="A48" t="s">
        <v>174</v>
      </c>
      <c r="B48">
        <v>94302</v>
      </c>
      <c r="C48">
        <v>53067</v>
      </c>
      <c r="D48">
        <v>-3591</v>
      </c>
      <c r="E48">
        <v>-129</v>
      </c>
      <c r="F48" s="2">
        <v>0.96</v>
      </c>
      <c r="G48" t="s">
        <v>26</v>
      </c>
      <c r="H48" s="6"/>
      <c r="I48" s="7"/>
      <c r="J48" s="5" t="str">
        <f>IFERROR(12-(1-I48+VLOOKUP(H48,Справка!$A$2:$B$7,2,FALSE)/100)/0.055,"")</f>
        <v/>
      </c>
    </row>
    <row r="49" spans="1:10" x14ac:dyDescent="0.25">
      <c r="A49" t="s">
        <v>21</v>
      </c>
      <c r="B49">
        <v>173660</v>
      </c>
      <c r="C49">
        <v>-124359</v>
      </c>
      <c r="D49">
        <v>16625</v>
      </c>
      <c r="E49">
        <v>-828</v>
      </c>
      <c r="F49" s="2">
        <v>0.14000000000000001</v>
      </c>
      <c r="G49" t="s">
        <v>16</v>
      </c>
      <c r="H49" s="6"/>
      <c r="I49" s="7"/>
      <c r="J49" s="5" t="str">
        <f>IFERROR(12-(1-I49+VLOOKUP(H49,Справка!$A$2:$B$7,2,FALSE)/100)/0.055,"")</f>
        <v/>
      </c>
    </row>
    <row r="50" spans="1:10" x14ac:dyDescent="0.25">
      <c r="A50" t="s">
        <v>161</v>
      </c>
      <c r="B50">
        <v>80492</v>
      </c>
      <c r="C50">
        <v>55441</v>
      </c>
      <c r="D50">
        <v>-2450</v>
      </c>
      <c r="E50">
        <v>694</v>
      </c>
      <c r="F50" s="2">
        <v>0.97</v>
      </c>
      <c r="G50" t="s">
        <v>26</v>
      </c>
      <c r="H50" s="6"/>
      <c r="I50" s="7"/>
      <c r="J50" s="5" t="str">
        <f>IFERROR(12-(1-I50+VLOOKUP(H50,Справка!$A$2:$B$7,2,FALSE)/100)/0.055,"")</f>
        <v/>
      </c>
    </row>
    <row r="51" spans="1:10" x14ac:dyDescent="0.25">
      <c r="A51" t="s">
        <v>323</v>
      </c>
      <c r="B51">
        <v>7143</v>
      </c>
      <c r="C51">
        <v>78164</v>
      </c>
      <c r="D51">
        <v>-11329</v>
      </c>
      <c r="E51">
        <v>-970</v>
      </c>
      <c r="F51" s="2">
        <v>0.99</v>
      </c>
      <c r="G51" t="s">
        <v>26</v>
      </c>
      <c r="H51" s="6"/>
      <c r="I51" s="7"/>
      <c r="J51" s="5" t="str">
        <f>IFERROR(12-(1-I51+VLOOKUP(H51,Справка!$A$2:$B$7,2,FALSE)/100)/0.055,"")</f>
        <v/>
      </c>
    </row>
    <row r="52" spans="1:10" x14ac:dyDescent="0.25">
      <c r="A52" t="s">
        <v>234</v>
      </c>
      <c r="B52">
        <v>89746</v>
      </c>
      <c r="C52">
        <v>28146</v>
      </c>
      <c r="D52">
        <v>-5983</v>
      </c>
      <c r="E52">
        <v>-915</v>
      </c>
      <c r="F52" s="2">
        <v>1</v>
      </c>
      <c r="G52" t="s">
        <v>26</v>
      </c>
      <c r="H52" s="6"/>
      <c r="I52" s="7"/>
      <c r="J52" s="5" t="str">
        <f>IFERROR(12-(1-I52+VLOOKUP(H52,Справка!$A$2:$B$7,2,FALSE)/100)/0.055,"")</f>
        <v/>
      </c>
    </row>
    <row r="53" spans="1:10" x14ac:dyDescent="0.25">
      <c r="A53" t="s">
        <v>93</v>
      </c>
      <c r="B53">
        <v>-78689</v>
      </c>
      <c r="C53">
        <v>-55425</v>
      </c>
      <c r="D53">
        <v>4050</v>
      </c>
      <c r="E53">
        <v>-590</v>
      </c>
      <c r="F53" s="2">
        <v>0</v>
      </c>
      <c r="G53" t="s">
        <v>35</v>
      </c>
      <c r="H53" s="6"/>
      <c r="I53" s="7"/>
      <c r="J53" s="5" t="str">
        <f>IFERROR(12-(1-I53+VLOOKUP(H53,Справка!$A$2:$B$7,2,FALSE)/100)/0.055,"")</f>
        <v/>
      </c>
    </row>
    <row r="54" spans="1:10" x14ac:dyDescent="0.25">
      <c r="A54" t="s">
        <v>10</v>
      </c>
      <c r="B54">
        <v>56368</v>
      </c>
      <c r="C54">
        <v>-48511</v>
      </c>
      <c r="D54">
        <v>36202</v>
      </c>
      <c r="E54">
        <v>15432</v>
      </c>
      <c r="F54" s="2">
        <v>0.99</v>
      </c>
      <c r="G54" t="s">
        <v>11</v>
      </c>
      <c r="H54" s="3" t="s">
        <v>12</v>
      </c>
      <c r="I54" s="4">
        <v>0.1</v>
      </c>
      <c r="J54" s="5">
        <f>IFERROR(12-(1-I54+VLOOKUP(H54,Справка!$A$2:$B$7,2,FALSE)/100)/0.055,"")</f>
        <v>-29.905454545454539</v>
      </c>
    </row>
    <row r="55" spans="1:10" x14ac:dyDescent="0.25">
      <c r="A55" t="s">
        <v>127</v>
      </c>
      <c r="B55">
        <v>-30266</v>
      </c>
      <c r="C55">
        <v>-49106</v>
      </c>
      <c r="D55">
        <v>364</v>
      </c>
      <c r="E55">
        <v>388</v>
      </c>
      <c r="F55" s="2">
        <v>0</v>
      </c>
      <c r="G55" t="s">
        <v>35</v>
      </c>
      <c r="H55" s="6"/>
      <c r="I55" s="7"/>
      <c r="J55" s="5" t="str">
        <f>IFERROR(12-(1-I55+VLOOKUP(H55,Справка!$A$2:$B$7,2,FALSE)/100)/0.055,"")</f>
        <v/>
      </c>
    </row>
    <row r="56" spans="1:10" x14ac:dyDescent="0.25">
      <c r="A56" t="s">
        <v>302</v>
      </c>
      <c r="B56">
        <v>81788</v>
      </c>
      <c r="C56">
        <v>-1866</v>
      </c>
      <c r="D56">
        <v>-9616</v>
      </c>
      <c r="E56">
        <v>-6670</v>
      </c>
      <c r="F56" s="2">
        <v>0</v>
      </c>
      <c r="G56" t="s">
        <v>35</v>
      </c>
      <c r="H56" s="6"/>
      <c r="I56" s="7"/>
      <c r="J56" s="5" t="str">
        <f>IFERROR(12-(1-I56+VLOOKUP(H56,Справка!$A$2:$B$7,2,FALSE)/100)/0.055,"")</f>
        <v/>
      </c>
    </row>
    <row r="57" spans="1:10" x14ac:dyDescent="0.25">
      <c r="A57" t="s">
        <v>151</v>
      </c>
      <c r="B57">
        <v>-139695</v>
      </c>
      <c r="C57">
        <v>-12857</v>
      </c>
      <c r="D57">
        <v>-1420</v>
      </c>
      <c r="E57">
        <v>1124</v>
      </c>
      <c r="F57" s="2">
        <v>0</v>
      </c>
      <c r="G57" t="s">
        <v>89</v>
      </c>
      <c r="H57" s="6"/>
      <c r="I57" s="7"/>
      <c r="J57" s="5" t="str">
        <f>IFERROR(12-(1-I57+VLOOKUP(H57,Справка!$A$2:$B$7,2,FALSE)/100)/0.055,"")</f>
        <v/>
      </c>
    </row>
    <row r="58" spans="1:10" x14ac:dyDescent="0.25">
      <c r="A58" t="s">
        <v>142</v>
      </c>
      <c r="B58">
        <v>95163</v>
      </c>
      <c r="C58">
        <v>67275</v>
      </c>
      <c r="D58">
        <v>-436</v>
      </c>
      <c r="E58">
        <v>1172</v>
      </c>
      <c r="F58" s="2">
        <v>0.94</v>
      </c>
      <c r="G58" t="s">
        <v>26</v>
      </c>
      <c r="H58" s="6"/>
      <c r="I58" s="7"/>
      <c r="J58" s="5" t="str">
        <f>IFERROR(12-(1-I58+VLOOKUP(H58,Справка!$A$2:$B$7,2,FALSE)/100)/0.055,"")</f>
        <v/>
      </c>
    </row>
    <row r="59" spans="1:10" x14ac:dyDescent="0.25">
      <c r="A59" t="s">
        <v>264</v>
      </c>
      <c r="B59">
        <v>-107785</v>
      </c>
      <c r="C59">
        <v>56746</v>
      </c>
      <c r="D59">
        <v>-7676</v>
      </c>
      <c r="E59">
        <v>1012</v>
      </c>
      <c r="F59" s="2">
        <v>0</v>
      </c>
      <c r="G59" t="s">
        <v>108</v>
      </c>
      <c r="H59" s="6"/>
      <c r="I59" s="7"/>
      <c r="J59" s="5" t="str">
        <f>IFERROR(12-(1-I59+VLOOKUP(H59,Справка!$A$2:$B$7,2,FALSE)/100)/0.055,"")</f>
        <v/>
      </c>
    </row>
    <row r="60" spans="1:10" x14ac:dyDescent="0.25">
      <c r="A60" t="s">
        <v>360</v>
      </c>
      <c r="B60">
        <v>94633</v>
      </c>
      <c r="C60">
        <v>120812</v>
      </c>
      <c r="D60">
        <v>-13520</v>
      </c>
      <c r="E60">
        <v>643</v>
      </c>
      <c r="F60" s="2">
        <v>1</v>
      </c>
      <c r="G60" t="s">
        <v>316</v>
      </c>
      <c r="H60" s="3" t="s">
        <v>14</v>
      </c>
      <c r="I60" s="4">
        <v>0.75</v>
      </c>
      <c r="J60" s="5">
        <f>IFERROR(12-(1-I60+VLOOKUP(H60,Справка!$A$2:$B$7,2,FALSE)/100)/0.055,"")</f>
        <v>-10.650909090909092</v>
      </c>
    </row>
    <row r="61" spans="1:10" x14ac:dyDescent="0.25">
      <c r="A61" t="s">
        <v>249</v>
      </c>
      <c r="B61">
        <v>80896</v>
      </c>
      <c r="C61">
        <v>-17225</v>
      </c>
      <c r="D61">
        <v>-6897</v>
      </c>
      <c r="E61">
        <v>-4676</v>
      </c>
      <c r="F61" s="2">
        <v>0</v>
      </c>
      <c r="G61" t="s">
        <v>35</v>
      </c>
      <c r="H61" s="6"/>
      <c r="I61" s="7"/>
      <c r="J61" s="5" t="str">
        <f>IFERROR(12-(1-I61+VLOOKUP(H61,Справка!$A$2:$B$7,2,FALSE)/100)/0.055,"")</f>
        <v/>
      </c>
    </row>
    <row r="62" spans="1:10" x14ac:dyDescent="0.25">
      <c r="A62" t="s">
        <v>71</v>
      </c>
      <c r="B62">
        <v>14989</v>
      </c>
      <c r="C62">
        <v>-90292</v>
      </c>
      <c r="D62">
        <v>10708</v>
      </c>
      <c r="E62">
        <v>-1706</v>
      </c>
      <c r="F62" s="2">
        <v>0.84</v>
      </c>
      <c r="G62" t="s">
        <v>11</v>
      </c>
      <c r="H62" s="6"/>
      <c r="I62" s="7"/>
      <c r="J62" s="5" t="str">
        <f>IFERROR(12-(1-I62+VLOOKUP(H62,Справка!$A$2:$B$7,2,FALSE)/100)/0.055,"")</f>
        <v/>
      </c>
    </row>
    <row r="63" spans="1:10" x14ac:dyDescent="0.25">
      <c r="A63" t="s">
        <v>378</v>
      </c>
      <c r="B63">
        <v>-66963</v>
      </c>
      <c r="C63">
        <v>141812</v>
      </c>
      <c r="D63">
        <v>-13931</v>
      </c>
      <c r="E63">
        <v>-310</v>
      </c>
      <c r="F63" s="2">
        <v>0.21</v>
      </c>
      <c r="G63" t="s">
        <v>316</v>
      </c>
      <c r="H63" s="6"/>
      <c r="I63" s="7"/>
      <c r="J63" s="5" t="str">
        <f>IFERROR(12-(1-I63+VLOOKUP(H63,Справка!$A$2:$B$7,2,FALSE)/100)/0.055,"")</f>
        <v/>
      </c>
    </row>
    <row r="64" spans="1:10" x14ac:dyDescent="0.25">
      <c r="A64" t="s">
        <v>359</v>
      </c>
      <c r="B64">
        <v>-54049</v>
      </c>
      <c r="C64">
        <v>131834</v>
      </c>
      <c r="D64">
        <v>-13481</v>
      </c>
      <c r="E64">
        <v>-905</v>
      </c>
      <c r="F64" s="2">
        <v>0.28000000000000003</v>
      </c>
      <c r="G64" t="s">
        <v>316</v>
      </c>
      <c r="H64" s="6"/>
      <c r="I64" s="7"/>
      <c r="J64" s="5" t="str">
        <f>IFERROR(12-(1-I64+VLOOKUP(H64,Справка!$A$2:$B$7,2,FALSE)/100)/0.055,"")</f>
        <v/>
      </c>
    </row>
    <row r="65" spans="1:10" x14ac:dyDescent="0.25">
      <c r="A65" t="s">
        <v>173</v>
      </c>
      <c r="B65">
        <v>-37647</v>
      </c>
      <c r="C65">
        <v>-36967</v>
      </c>
      <c r="D65">
        <v>-3587</v>
      </c>
      <c r="E65">
        <v>-1753</v>
      </c>
      <c r="F65" s="2">
        <v>0.23</v>
      </c>
      <c r="G65" t="s">
        <v>108</v>
      </c>
      <c r="H65" s="6"/>
      <c r="I65" s="7"/>
      <c r="J65" s="5" t="str">
        <f>IFERROR(12-(1-I65+VLOOKUP(H65,Справка!$A$2:$B$7,2,FALSE)/100)/0.055,"")</f>
        <v/>
      </c>
    </row>
    <row r="66" spans="1:10" x14ac:dyDescent="0.25">
      <c r="A66" t="s">
        <v>387</v>
      </c>
      <c r="B66">
        <v>30808</v>
      </c>
      <c r="C66">
        <v>106138</v>
      </c>
      <c r="D66">
        <v>-14243</v>
      </c>
      <c r="E66">
        <v>-2252</v>
      </c>
      <c r="F66" s="2">
        <v>0.61</v>
      </c>
      <c r="G66" t="s">
        <v>26</v>
      </c>
      <c r="H66" s="3" t="s">
        <v>14</v>
      </c>
      <c r="I66" s="4">
        <v>0.75</v>
      </c>
      <c r="J66" s="5">
        <f>IFERROR(12-(1-I66+VLOOKUP(H66,Справка!$A$2:$B$7,2,FALSE)/100)/0.055,"")</f>
        <v>-10.650909090909092</v>
      </c>
    </row>
    <row r="67" spans="1:10" x14ac:dyDescent="0.25">
      <c r="A67" t="s">
        <v>371</v>
      </c>
      <c r="B67">
        <v>31376</v>
      </c>
      <c r="C67">
        <v>113970</v>
      </c>
      <c r="D67">
        <v>-13827</v>
      </c>
      <c r="E67">
        <v>-375</v>
      </c>
      <c r="F67" s="2">
        <v>0.54</v>
      </c>
      <c r="G67" t="s">
        <v>316</v>
      </c>
      <c r="H67" s="3" t="s">
        <v>14</v>
      </c>
      <c r="I67" s="4">
        <v>0.75</v>
      </c>
      <c r="J67" s="5">
        <f>IFERROR(12-(1-I67+VLOOKUP(H67,Справка!$A$2:$B$7,2,FALSE)/100)/0.055,"")</f>
        <v>-10.650909090909092</v>
      </c>
    </row>
    <row r="68" spans="1:10" x14ac:dyDescent="0.25">
      <c r="A68" t="s">
        <v>116</v>
      </c>
      <c r="B68">
        <v>69754</v>
      </c>
      <c r="C68">
        <v>19534</v>
      </c>
      <c r="D68">
        <v>1164</v>
      </c>
      <c r="E68">
        <v>3838</v>
      </c>
      <c r="F68" s="2">
        <v>0.99</v>
      </c>
      <c r="G68" t="s">
        <v>26</v>
      </c>
      <c r="H68" s="3" t="s">
        <v>12</v>
      </c>
      <c r="I68" s="4">
        <v>0.75</v>
      </c>
      <c r="J68" s="5">
        <f>IFERROR(12-(1-I68+VLOOKUP(H68,Справка!$A$2:$B$7,2,FALSE)/100)/0.055,"")</f>
        <v>-18.087272727272723</v>
      </c>
    </row>
    <row r="69" spans="1:10" x14ac:dyDescent="0.25">
      <c r="A69" t="s">
        <v>333</v>
      </c>
      <c r="B69">
        <v>111622</v>
      </c>
      <c r="C69">
        <v>32316</v>
      </c>
      <c r="D69">
        <v>-11901</v>
      </c>
      <c r="E69">
        <v>-3142</v>
      </c>
      <c r="F69" s="2">
        <v>0.86</v>
      </c>
      <c r="G69" t="s">
        <v>26</v>
      </c>
      <c r="H69" s="6"/>
      <c r="I69" s="7"/>
      <c r="J69" s="5" t="str">
        <f>IFERROR(12-(1-I69+VLOOKUP(H69,Справка!$A$2:$B$7,2,FALSE)/100)/0.055,"")</f>
        <v/>
      </c>
    </row>
    <row r="70" spans="1:10" x14ac:dyDescent="0.25">
      <c r="A70" t="s">
        <v>70</v>
      </c>
      <c r="B70">
        <v>133151</v>
      </c>
      <c r="C70">
        <v>-95797</v>
      </c>
      <c r="D70">
        <v>10719</v>
      </c>
      <c r="E70">
        <v>-1006</v>
      </c>
      <c r="F70" s="2">
        <v>0</v>
      </c>
      <c r="G70" t="s">
        <v>16</v>
      </c>
      <c r="H70" s="6"/>
      <c r="I70" s="7"/>
      <c r="J70" s="5" t="str">
        <f>IFERROR(12-(1-I70+VLOOKUP(H70,Справка!$A$2:$B$7,2,FALSE)/100)/0.055,"")</f>
        <v/>
      </c>
    </row>
    <row r="71" spans="1:10" x14ac:dyDescent="0.25">
      <c r="A71" t="s">
        <v>393</v>
      </c>
      <c r="B71">
        <v>140081</v>
      </c>
      <c r="C71">
        <v>34298</v>
      </c>
      <c r="D71">
        <v>-14441</v>
      </c>
      <c r="E71">
        <v>-3088</v>
      </c>
      <c r="F71" s="2">
        <v>1</v>
      </c>
      <c r="G71" t="s">
        <v>26</v>
      </c>
      <c r="H71" s="6"/>
      <c r="I71" s="7"/>
      <c r="J71" s="5" t="str">
        <f>IFERROR(12-(1-I71+VLOOKUP(H71,Справка!$A$2:$B$7,2,FALSE)/100)/0.055,"")</f>
        <v/>
      </c>
    </row>
    <row r="72" spans="1:10" x14ac:dyDescent="0.25">
      <c r="A72" t="s">
        <v>381</v>
      </c>
      <c r="B72">
        <v>29656</v>
      </c>
      <c r="C72">
        <v>108332</v>
      </c>
      <c r="D72">
        <v>-13979</v>
      </c>
      <c r="E72">
        <v>-1282</v>
      </c>
      <c r="F72" s="2">
        <v>0.44</v>
      </c>
      <c r="G72" t="s">
        <v>26</v>
      </c>
      <c r="H72" s="6"/>
      <c r="I72" s="7"/>
      <c r="J72" s="5" t="str">
        <f>IFERROR(12-(1-I72+VLOOKUP(H72,Справка!$A$2:$B$7,2,FALSE)/100)/0.055,"")</f>
        <v/>
      </c>
    </row>
    <row r="73" spans="1:10" x14ac:dyDescent="0.25">
      <c r="A73" t="s">
        <v>284</v>
      </c>
      <c r="B73">
        <v>39160</v>
      </c>
      <c r="C73">
        <v>39375</v>
      </c>
      <c r="D73">
        <v>-8684</v>
      </c>
      <c r="E73">
        <v>-1385</v>
      </c>
      <c r="F73" s="2">
        <v>0.6</v>
      </c>
      <c r="G73" t="s">
        <v>26</v>
      </c>
      <c r="H73" s="6"/>
      <c r="I73" s="7"/>
      <c r="J73" s="5" t="str">
        <f>IFERROR(12-(1-I73+VLOOKUP(H73,Справка!$A$2:$B$7,2,FALSE)/100)/0.055,"")</f>
        <v/>
      </c>
    </row>
    <row r="74" spans="1:10" x14ac:dyDescent="0.25">
      <c r="A74" t="s">
        <v>191</v>
      </c>
      <c r="B74">
        <v>-30649</v>
      </c>
      <c r="C74">
        <v>26970</v>
      </c>
      <c r="D74">
        <v>-4332</v>
      </c>
      <c r="E74">
        <v>163</v>
      </c>
      <c r="F74" s="2">
        <v>0.06</v>
      </c>
      <c r="G74" t="s">
        <v>108</v>
      </c>
      <c r="H74" s="6"/>
      <c r="I74" s="7"/>
      <c r="J74" s="5" t="str">
        <f>IFERROR(12-(1-I74+VLOOKUP(H74,Справка!$A$2:$B$7,2,FALSE)/100)/0.055,"")</f>
        <v/>
      </c>
    </row>
    <row r="75" spans="1:10" x14ac:dyDescent="0.25">
      <c r="A75" t="s">
        <v>337</v>
      </c>
      <c r="B75">
        <v>-102148</v>
      </c>
      <c r="C75">
        <v>82900</v>
      </c>
      <c r="D75">
        <v>-12221</v>
      </c>
      <c r="E75">
        <v>-1953</v>
      </c>
      <c r="F75" s="2">
        <v>0.01</v>
      </c>
      <c r="G75" t="s">
        <v>108</v>
      </c>
      <c r="H75" s="3" t="s">
        <v>17</v>
      </c>
      <c r="I75" s="4">
        <v>0.75</v>
      </c>
      <c r="J75" s="5">
        <f>IFERROR(12-(1-I75+VLOOKUP(H75,Справка!$A$2:$B$7,2,FALSE)/100)/0.055,"")</f>
        <v>-3.2145454545454548</v>
      </c>
    </row>
    <row r="76" spans="1:10" x14ac:dyDescent="0.25">
      <c r="A76" t="s">
        <v>246</v>
      </c>
      <c r="B76">
        <v>-17461</v>
      </c>
      <c r="C76">
        <v>18255</v>
      </c>
      <c r="D76">
        <v>-6625</v>
      </c>
      <c r="E76">
        <v>-1632</v>
      </c>
      <c r="F76" s="2">
        <v>0</v>
      </c>
      <c r="G76" t="s">
        <v>108</v>
      </c>
      <c r="H76" s="6"/>
      <c r="I76" s="7"/>
      <c r="J76" s="5" t="str">
        <f>IFERROR(12-(1-I76+VLOOKUP(H76,Справка!$A$2:$B$7,2,FALSE)/100)/0.055,"")</f>
        <v/>
      </c>
    </row>
    <row r="77" spans="1:10" x14ac:dyDescent="0.25">
      <c r="A77" t="s">
        <v>211</v>
      </c>
      <c r="B77">
        <v>55737</v>
      </c>
      <c r="C77">
        <v>79560</v>
      </c>
      <c r="D77">
        <v>-5019</v>
      </c>
      <c r="E77">
        <v>222</v>
      </c>
      <c r="F77" s="2">
        <v>0.97</v>
      </c>
      <c r="G77" t="s">
        <v>26</v>
      </c>
      <c r="H77" s="6"/>
      <c r="I77" s="7"/>
      <c r="J77" s="5" t="str">
        <f>IFERROR(12-(1-I77+VLOOKUP(H77,Справка!$A$2:$B$7,2,FALSE)/100)/0.055,"")</f>
        <v/>
      </c>
    </row>
    <row r="78" spans="1:10" x14ac:dyDescent="0.25">
      <c r="A78" t="s">
        <v>150</v>
      </c>
      <c r="B78">
        <v>-145543</v>
      </c>
      <c r="C78">
        <v>-22742</v>
      </c>
      <c r="D78">
        <v>-1064</v>
      </c>
      <c r="E78">
        <v>-2200</v>
      </c>
      <c r="F78" s="2">
        <v>0</v>
      </c>
      <c r="G78" t="s">
        <v>89</v>
      </c>
      <c r="H78" s="6"/>
      <c r="I78" s="7"/>
      <c r="J78" s="5" t="str">
        <f>IFERROR(12-(1-I78+VLOOKUP(H78,Справка!$A$2:$B$7,2,FALSE)/100)/0.055,"")</f>
        <v/>
      </c>
    </row>
    <row r="79" spans="1:10" x14ac:dyDescent="0.25">
      <c r="A79" t="s">
        <v>168</v>
      </c>
      <c r="B79">
        <v>-92049</v>
      </c>
      <c r="C79">
        <v>112677</v>
      </c>
      <c r="D79">
        <v>-3223</v>
      </c>
      <c r="E79">
        <v>4724</v>
      </c>
      <c r="F79" s="2">
        <v>0.99</v>
      </c>
      <c r="G79" t="s">
        <v>11</v>
      </c>
      <c r="H79" s="3" t="s">
        <v>14</v>
      </c>
      <c r="I79" s="4">
        <v>0.75</v>
      </c>
      <c r="J79" s="5">
        <f>IFERROR(12-(1-I79+VLOOKUP(H79,Справка!$A$2:$B$7,2,FALSE)/100)/0.055,"")</f>
        <v>-10.650909090909092</v>
      </c>
    </row>
    <row r="80" spans="1:10" x14ac:dyDescent="0.25">
      <c r="A80" t="s">
        <v>100</v>
      </c>
      <c r="B80">
        <v>-78224</v>
      </c>
      <c r="C80">
        <v>-40254</v>
      </c>
      <c r="D80">
        <v>2355</v>
      </c>
      <c r="E80">
        <v>1555</v>
      </c>
      <c r="F80" s="2">
        <v>0</v>
      </c>
      <c r="G80" t="s">
        <v>35</v>
      </c>
      <c r="H80" s="6"/>
      <c r="I80" s="7"/>
      <c r="J80" s="5" t="str">
        <f>IFERROR(12-(1-I80+VLOOKUP(H80,Справка!$A$2:$B$7,2,FALSE)/100)/0.055,"")</f>
        <v/>
      </c>
    </row>
    <row r="81" spans="1:10" x14ac:dyDescent="0.25">
      <c r="A81" t="s">
        <v>324</v>
      </c>
      <c r="B81">
        <v>95682</v>
      </c>
      <c r="C81">
        <v>-15213</v>
      </c>
      <c r="D81">
        <v>-11374</v>
      </c>
      <c r="E81">
        <v>-2437</v>
      </c>
      <c r="F81" s="2">
        <v>0</v>
      </c>
      <c r="G81" t="s">
        <v>35</v>
      </c>
      <c r="H81" s="6"/>
      <c r="I81" s="7"/>
      <c r="J81" s="5" t="str">
        <f>IFERROR(12-(1-I81+VLOOKUP(H81,Справка!$A$2:$B$7,2,FALSE)/100)/0.055,"")</f>
        <v/>
      </c>
    </row>
    <row r="82" spans="1:10" x14ac:dyDescent="0.25">
      <c r="A82" t="s">
        <v>376</v>
      </c>
      <c r="B82">
        <v>-34082</v>
      </c>
      <c r="C82">
        <v>93830</v>
      </c>
      <c r="D82">
        <v>-13895</v>
      </c>
      <c r="E82">
        <v>-224</v>
      </c>
      <c r="F82" s="2">
        <v>1</v>
      </c>
      <c r="G82" t="s">
        <v>354</v>
      </c>
      <c r="H82" s="6"/>
      <c r="I82" s="7"/>
      <c r="J82" s="5" t="str">
        <f>IFERROR(12-(1-I82+VLOOKUP(H82,Справка!$A$2:$B$7,2,FALSE)/100)/0.055,"")</f>
        <v/>
      </c>
    </row>
    <row r="83" spans="1:10" x14ac:dyDescent="0.25">
      <c r="A83" t="s">
        <v>241</v>
      </c>
      <c r="B83">
        <v>87223</v>
      </c>
      <c r="C83">
        <v>50364</v>
      </c>
      <c r="D83">
        <v>-6457</v>
      </c>
      <c r="E83">
        <v>-2759</v>
      </c>
      <c r="F83" s="2">
        <v>0.95</v>
      </c>
      <c r="G83" t="s">
        <v>26</v>
      </c>
      <c r="H83" s="6"/>
      <c r="I83" s="7"/>
      <c r="J83" s="5" t="str">
        <f>IFERROR(12-(1-I83+VLOOKUP(H83,Справка!$A$2:$B$7,2,FALSE)/100)/0.055,"")</f>
        <v/>
      </c>
    </row>
    <row r="84" spans="1:10" x14ac:dyDescent="0.25">
      <c r="A84" t="s">
        <v>265</v>
      </c>
      <c r="B84">
        <v>46034</v>
      </c>
      <c r="C84">
        <v>59379</v>
      </c>
      <c r="D84">
        <v>-7679</v>
      </c>
      <c r="E84">
        <v>-1024</v>
      </c>
      <c r="F84" s="2">
        <v>0.96</v>
      </c>
      <c r="G84" t="s">
        <v>26</v>
      </c>
      <c r="H84" s="6"/>
      <c r="I84" s="7"/>
      <c r="J84" s="5" t="str">
        <f>IFERROR(12-(1-I84+VLOOKUP(H84,Справка!$A$2:$B$7,2,FALSE)/100)/0.055,"")</f>
        <v/>
      </c>
    </row>
    <row r="85" spans="1:10" x14ac:dyDescent="0.25">
      <c r="A85" t="s">
        <v>61</v>
      </c>
      <c r="B85">
        <v>89473</v>
      </c>
      <c r="C85">
        <v>-64540</v>
      </c>
      <c r="D85">
        <v>10996</v>
      </c>
      <c r="E85">
        <v>523</v>
      </c>
      <c r="F85" s="2">
        <v>0</v>
      </c>
      <c r="G85" t="s">
        <v>16</v>
      </c>
      <c r="H85" s="6"/>
      <c r="I85" s="7"/>
      <c r="J85" s="5" t="str">
        <f>IFERROR(12-(1-I85+VLOOKUP(H85,Справка!$A$2:$B$7,2,FALSE)/100)/0.055,"")</f>
        <v/>
      </c>
    </row>
    <row r="86" spans="1:10" x14ac:dyDescent="0.25">
      <c r="A86" t="s">
        <v>288</v>
      </c>
      <c r="B86">
        <v>20038</v>
      </c>
      <c r="C86">
        <v>67242</v>
      </c>
      <c r="D86">
        <v>-8788</v>
      </c>
      <c r="E86">
        <v>-1270</v>
      </c>
      <c r="F86" s="2">
        <v>0.99</v>
      </c>
      <c r="G86" t="s">
        <v>26</v>
      </c>
      <c r="H86" s="6"/>
      <c r="I86" s="7"/>
      <c r="J86" s="5" t="str">
        <f>IFERROR(12-(1-I86+VLOOKUP(H86,Справка!$A$2:$B$7,2,FALSE)/100)/0.055,"")</f>
        <v/>
      </c>
    </row>
    <row r="87" spans="1:10" x14ac:dyDescent="0.25">
      <c r="A87" t="s">
        <v>397</v>
      </c>
      <c r="B87">
        <v>-177219</v>
      </c>
      <c r="C87">
        <v>147389</v>
      </c>
      <c r="D87">
        <v>-16422</v>
      </c>
      <c r="E87">
        <v>259</v>
      </c>
      <c r="F87" s="2">
        <v>0</v>
      </c>
      <c r="G87" t="s">
        <v>43</v>
      </c>
      <c r="H87" s="3" t="s">
        <v>14</v>
      </c>
      <c r="I87" s="4">
        <v>0.75</v>
      </c>
      <c r="J87" s="5">
        <f>IFERROR(12-(1-I87+VLOOKUP(H87,Справка!$A$2:$B$7,2,FALSE)/100)/0.055,"")</f>
        <v>-10.650909090909092</v>
      </c>
    </row>
    <row r="88" spans="1:10" x14ac:dyDescent="0.25">
      <c r="A88" t="s">
        <v>224</v>
      </c>
      <c r="B88">
        <v>1660</v>
      </c>
      <c r="C88">
        <v>-14699</v>
      </c>
      <c r="D88">
        <v>-5526</v>
      </c>
      <c r="E88">
        <v>-1181</v>
      </c>
      <c r="F88" s="2">
        <v>0</v>
      </c>
      <c r="G88" t="s">
        <v>108</v>
      </c>
      <c r="H88" s="6"/>
      <c r="I88" s="7"/>
      <c r="J88" s="5" t="str">
        <f>IFERROR(12-(1-I88+VLOOKUP(H88,Справка!$A$2:$B$7,2,FALSE)/100)/0.055,"")</f>
        <v/>
      </c>
    </row>
    <row r="89" spans="1:10" x14ac:dyDescent="0.25">
      <c r="A89" t="s">
        <v>49</v>
      </c>
      <c r="B89">
        <v>145744</v>
      </c>
      <c r="C89">
        <v>-92383</v>
      </c>
      <c r="D89">
        <v>11547</v>
      </c>
      <c r="E89">
        <v>738</v>
      </c>
      <c r="F89" s="2">
        <v>0</v>
      </c>
      <c r="G89" t="s">
        <v>16</v>
      </c>
      <c r="H89" s="6"/>
      <c r="I89" s="7"/>
      <c r="J89" s="5" t="str">
        <f>IFERROR(12-(1-I89+VLOOKUP(H89,Справка!$A$2:$B$7,2,FALSE)/100)/0.055,"")</f>
        <v/>
      </c>
    </row>
    <row r="90" spans="1:10" x14ac:dyDescent="0.25">
      <c r="A90" t="s">
        <v>322</v>
      </c>
      <c r="B90">
        <v>57393</v>
      </c>
      <c r="C90">
        <v>115440</v>
      </c>
      <c r="D90">
        <v>-11329</v>
      </c>
      <c r="E90">
        <v>2728</v>
      </c>
      <c r="F90" s="2">
        <v>0.91</v>
      </c>
      <c r="G90" t="s">
        <v>316</v>
      </c>
      <c r="H90" s="6"/>
      <c r="I90" s="7"/>
      <c r="J90" s="5" t="str">
        <f>IFERROR(12-(1-I90+VLOOKUP(H90,Справка!$A$2:$B$7,2,FALSE)/100)/0.055,"")</f>
        <v/>
      </c>
    </row>
    <row r="91" spans="1:10" x14ac:dyDescent="0.25">
      <c r="A91" t="s">
        <v>216</v>
      </c>
      <c r="B91">
        <v>64340</v>
      </c>
      <c r="C91">
        <v>88971</v>
      </c>
      <c r="D91">
        <v>-5110</v>
      </c>
      <c r="E91">
        <v>2371</v>
      </c>
      <c r="F91" s="2">
        <v>0.96</v>
      </c>
      <c r="G91" t="s">
        <v>26</v>
      </c>
      <c r="H91" s="6"/>
      <c r="I91" s="7"/>
      <c r="J91" s="5" t="str">
        <f>IFERROR(12-(1-I91+VLOOKUP(H91,Справка!$A$2:$B$7,2,FALSE)/100)/0.055,"")</f>
        <v/>
      </c>
    </row>
    <row r="92" spans="1:10" x14ac:dyDescent="0.25">
      <c r="A92" t="s">
        <v>274</v>
      </c>
      <c r="B92">
        <v>77331</v>
      </c>
      <c r="C92">
        <v>26481</v>
      </c>
      <c r="D92">
        <v>-8083</v>
      </c>
      <c r="E92">
        <v>-4149</v>
      </c>
      <c r="F92" s="2">
        <v>0.98</v>
      </c>
      <c r="G92" t="s">
        <v>26</v>
      </c>
      <c r="H92" s="6"/>
      <c r="I92" s="7"/>
      <c r="J92" s="5" t="str">
        <f>IFERROR(12-(1-I92+VLOOKUP(H92,Справка!$A$2:$B$7,2,FALSE)/100)/0.055,"")</f>
        <v/>
      </c>
    </row>
    <row r="93" spans="1:10" x14ac:dyDescent="0.25">
      <c r="A93" t="s">
        <v>158</v>
      </c>
      <c r="B93">
        <v>174722</v>
      </c>
      <c r="C93">
        <v>-19865</v>
      </c>
      <c r="D93">
        <v>-1928</v>
      </c>
      <c r="E93">
        <v>-3497</v>
      </c>
      <c r="F93" s="2">
        <v>0.35</v>
      </c>
      <c r="G93" t="s">
        <v>26</v>
      </c>
      <c r="H93" s="6"/>
      <c r="I93" s="7"/>
      <c r="J93" s="5" t="str">
        <f>IFERROR(12-(1-I93+VLOOKUP(H93,Справка!$A$2:$B$7,2,FALSE)/100)/0.055,"")</f>
        <v/>
      </c>
    </row>
    <row r="94" spans="1:10" x14ac:dyDescent="0.25">
      <c r="A94" t="s">
        <v>85</v>
      </c>
      <c r="B94">
        <v>191763</v>
      </c>
      <c r="C94">
        <v>-29429</v>
      </c>
      <c r="D94">
        <v>8062</v>
      </c>
      <c r="E94">
        <v>-290</v>
      </c>
      <c r="F94" s="2">
        <v>1</v>
      </c>
      <c r="G94" t="s">
        <v>26</v>
      </c>
      <c r="H94" s="3" t="s">
        <v>12</v>
      </c>
      <c r="I94" s="4">
        <v>0.75</v>
      </c>
      <c r="J94" s="5">
        <f>IFERROR(12-(1-I94+VLOOKUP(H94,Справка!$A$2:$B$7,2,FALSE)/100)/0.055,"")</f>
        <v>-18.087272727272723</v>
      </c>
    </row>
    <row r="95" spans="1:10" x14ac:dyDescent="0.25">
      <c r="A95" t="s">
        <v>134</v>
      </c>
      <c r="B95">
        <v>-109696</v>
      </c>
      <c r="C95">
        <v>23216</v>
      </c>
      <c r="D95">
        <v>-31</v>
      </c>
      <c r="E95">
        <v>2787</v>
      </c>
      <c r="F95" s="2">
        <v>0</v>
      </c>
      <c r="G95" t="s">
        <v>108</v>
      </c>
      <c r="H95" s="6"/>
      <c r="I95" s="7"/>
      <c r="J95" s="5" t="str">
        <f>IFERROR(12-(1-I95+VLOOKUP(H95,Справка!$A$2:$B$7,2,FALSE)/100)/0.055,"")</f>
        <v/>
      </c>
    </row>
    <row r="96" spans="1:10" x14ac:dyDescent="0.25">
      <c r="A96" t="s">
        <v>131</v>
      </c>
      <c r="B96">
        <v>-42999</v>
      </c>
      <c r="C96">
        <v>-96533</v>
      </c>
      <c r="D96">
        <v>-7</v>
      </c>
      <c r="E96">
        <v>-2552</v>
      </c>
      <c r="F96" s="2">
        <v>0.02</v>
      </c>
      <c r="G96" t="s">
        <v>35</v>
      </c>
      <c r="H96" s="6"/>
      <c r="I96" s="7"/>
      <c r="J96" s="5" t="str">
        <f>IFERROR(12-(1-I96+VLOOKUP(H96,Справка!$A$2:$B$7,2,FALSE)/100)/0.055,"")</f>
        <v/>
      </c>
    </row>
    <row r="97" spans="1:10" x14ac:dyDescent="0.25">
      <c r="A97" t="s">
        <v>326</v>
      </c>
      <c r="B97">
        <v>-7283</v>
      </c>
      <c r="C97">
        <v>64267</v>
      </c>
      <c r="D97">
        <v>-11489</v>
      </c>
      <c r="E97">
        <v>-3109</v>
      </c>
      <c r="F97" s="2">
        <v>0.78</v>
      </c>
      <c r="G97" t="s">
        <v>26</v>
      </c>
      <c r="H97" s="6"/>
      <c r="I97" s="7"/>
      <c r="J97" s="5" t="str">
        <f>IFERROR(12-(1-I97+VLOOKUP(H97,Справка!$A$2:$B$7,2,FALSE)/100)/0.055,"")</f>
        <v/>
      </c>
    </row>
    <row r="98" spans="1:10" x14ac:dyDescent="0.25">
      <c r="A98" t="s">
        <v>318</v>
      </c>
      <c r="B98">
        <v>130939</v>
      </c>
      <c r="C98">
        <v>-28770</v>
      </c>
      <c r="D98">
        <v>-10707</v>
      </c>
      <c r="E98">
        <v>-2509</v>
      </c>
      <c r="F98" s="2">
        <v>0</v>
      </c>
      <c r="G98" t="s">
        <v>271</v>
      </c>
      <c r="H98" s="6"/>
      <c r="I98" s="7"/>
      <c r="J98" s="5" t="str">
        <f>IFERROR(12-(1-I98+VLOOKUP(H98,Справка!$A$2:$B$7,2,FALSE)/100)/0.055,"")</f>
        <v/>
      </c>
    </row>
    <row r="99" spans="1:10" x14ac:dyDescent="0.25">
      <c r="A99" t="s">
        <v>373</v>
      </c>
      <c r="B99">
        <v>71827</v>
      </c>
      <c r="C99">
        <v>106134</v>
      </c>
      <c r="D99">
        <v>-13864</v>
      </c>
      <c r="E99">
        <v>-1392</v>
      </c>
      <c r="F99" s="2">
        <v>1</v>
      </c>
      <c r="G99" t="s">
        <v>316</v>
      </c>
      <c r="H99" s="6" t="s">
        <v>435</v>
      </c>
      <c r="I99" s="7">
        <v>0.75</v>
      </c>
      <c r="J99" s="5">
        <f>IFERROR(12-(1-I99+VLOOKUP(H99,Справка!$A$2:$B$7,2,FALSE)/100)/0.055,"")</f>
        <v>-14.369090909090907</v>
      </c>
    </row>
    <row r="100" spans="1:10" x14ac:dyDescent="0.25">
      <c r="A100" t="s">
        <v>345</v>
      </c>
      <c r="B100">
        <v>151704</v>
      </c>
      <c r="C100">
        <v>116451</v>
      </c>
      <c r="D100">
        <v>-12645</v>
      </c>
      <c r="E100">
        <v>2287</v>
      </c>
      <c r="F100" s="2">
        <v>1</v>
      </c>
      <c r="G100" t="s">
        <v>316</v>
      </c>
      <c r="H100" s="6" t="s">
        <v>435</v>
      </c>
      <c r="I100" s="7">
        <v>0.75</v>
      </c>
      <c r="J100" s="5">
        <f>IFERROR(12-(1-I100+VLOOKUP(H100,Справка!$A$2:$B$7,2,FALSE)/100)/0.055,"")</f>
        <v>-14.369090909090907</v>
      </c>
    </row>
    <row r="101" spans="1:10" x14ac:dyDescent="0.25">
      <c r="A101" t="s">
        <v>202</v>
      </c>
      <c r="B101">
        <v>-96270</v>
      </c>
      <c r="C101">
        <v>115526</v>
      </c>
      <c r="D101">
        <v>-4539</v>
      </c>
      <c r="E101">
        <v>4018</v>
      </c>
      <c r="F101" s="2">
        <v>0.96</v>
      </c>
      <c r="G101" t="s">
        <v>11</v>
      </c>
      <c r="H101" s="6"/>
      <c r="I101" s="7"/>
      <c r="J101" s="5" t="str">
        <f>IFERROR(12-(1-I101+VLOOKUP(H101,Справка!$A$2:$B$7,2,FALSE)/100)/0.055,"")</f>
        <v/>
      </c>
    </row>
    <row r="102" spans="1:10" x14ac:dyDescent="0.25">
      <c r="A102" t="s">
        <v>122</v>
      </c>
      <c r="B102">
        <v>-32442</v>
      </c>
      <c r="C102">
        <v>-55637</v>
      </c>
      <c r="D102">
        <v>718</v>
      </c>
      <c r="E102">
        <v>-192</v>
      </c>
      <c r="F102" s="2">
        <v>0</v>
      </c>
      <c r="G102" t="s">
        <v>35</v>
      </c>
      <c r="H102" s="6"/>
      <c r="I102" s="7"/>
      <c r="J102" s="5" t="str">
        <f>IFERROR(12-(1-I102+VLOOKUP(H102,Справка!$A$2:$B$7,2,FALSE)/100)/0.055,"")</f>
        <v/>
      </c>
    </row>
    <row r="103" spans="1:10" x14ac:dyDescent="0.25">
      <c r="A103" t="s">
        <v>138</v>
      </c>
      <c r="B103">
        <v>5821</v>
      </c>
      <c r="C103">
        <v>56398</v>
      </c>
      <c r="D103">
        <v>-157</v>
      </c>
      <c r="E103">
        <v>4100</v>
      </c>
      <c r="F103" s="2">
        <v>1</v>
      </c>
      <c r="G103" t="s">
        <v>26</v>
      </c>
      <c r="H103" s="6"/>
      <c r="I103" s="7"/>
      <c r="J103" s="5" t="str">
        <f>IFERROR(12-(1-I103+VLOOKUP(H103,Справка!$A$2:$B$7,2,FALSE)/100)/0.055,"")</f>
        <v/>
      </c>
    </row>
    <row r="104" spans="1:10" x14ac:dyDescent="0.25">
      <c r="A104" t="s">
        <v>169</v>
      </c>
      <c r="B104">
        <v>-150413</v>
      </c>
      <c r="C104">
        <v>20215</v>
      </c>
      <c r="D104">
        <v>-3251</v>
      </c>
      <c r="E104">
        <v>1036</v>
      </c>
      <c r="F104" s="2">
        <v>0</v>
      </c>
      <c r="G104" t="s">
        <v>89</v>
      </c>
      <c r="H104" s="6"/>
      <c r="I104" s="7"/>
      <c r="J104" s="5" t="str">
        <f>IFERROR(12-(1-I104+VLOOKUP(H104,Справка!$A$2:$B$7,2,FALSE)/100)/0.055,"")</f>
        <v/>
      </c>
    </row>
    <row r="105" spans="1:10" x14ac:dyDescent="0.25">
      <c r="A105" t="s">
        <v>152</v>
      </c>
      <c r="B105">
        <v>50863</v>
      </c>
      <c r="C105">
        <v>-5304</v>
      </c>
      <c r="D105">
        <v>-1436</v>
      </c>
      <c r="E105">
        <v>-209</v>
      </c>
      <c r="F105" s="2">
        <v>0</v>
      </c>
      <c r="G105" t="s">
        <v>108</v>
      </c>
      <c r="H105" s="6"/>
      <c r="I105" s="7"/>
      <c r="J105" s="5" t="str">
        <f>IFERROR(12-(1-I105+VLOOKUP(H105,Справка!$A$2:$B$7,2,FALSE)/100)/0.055,"")</f>
        <v/>
      </c>
    </row>
    <row r="106" spans="1:10" x14ac:dyDescent="0.25">
      <c r="A106" t="s">
        <v>41</v>
      </c>
      <c r="B106">
        <v>171146</v>
      </c>
      <c r="C106">
        <v>-110243</v>
      </c>
      <c r="D106">
        <v>12726</v>
      </c>
      <c r="E106">
        <v>139</v>
      </c>
      <c r="F106" s="2">
        <v>0.02</v>
      </c>
      <c r="G106" t="s">
        <v>16</v>
      </c>
      <c r="H106" s="6"/>
      <c r="I106" s="7"/>
      <c r="J106" s="5" t="str">
        <f>IFERROR(12-(1-I106+VLOOKUP(H106,Справка!$A$2:$B$7,2,FALSE)/100)/0.055,"")</f>
        <v/>
      </c>
    </row>
    <row r="107" spans="1:10" x14ac:dyDescent="0.25">
      <c r="A107" t="s">
        <v>380</v>
      </c>
      <c r="B107">
        <v>-55914</v>
      </c>
      <c r="C107">
        <v>79726</v>
      </c>
      <c r="D107">
        <v>-13971</v>
      </c>
      <c r="E107">
        <v>-486</v>
      </c>
      <c r="F107" s="2">
        <v>0</v>
      </c>
      <c r="G107" t="s">
        <v>354</v>
      </c>
      <c r="H107" s="6"/>
      <c r="I107" s="7"/>
      <c r="J107" s="5" t="str">
        <f>IFERROR(12-(1-I107+VLOOKUP(H107,Справка!$A$2:$B$7,2,FALSE)/100)/0.055,"")</f>
        <v/>
      </c>
    </row>
    <row r="108" spans="1:10" x14ac:dyDescent="0.25">
      <c r="A108" t="s">
        <v>87</v>
      </c>
      <c r="B108">
        <v>162924</v>
      </c>
      <c r="C108">
        <v>-60530</v>
      </c>
      <c r="D108">
        <v>7110</v>
      </c>
      <c r="E108">
        <v>-657</v>
      </c>
      <c r="F108" s="2">
        <v>0</v>
      </c>
      <c r="G108" t="s">
        <v>16</v>
      </c>
      <c r="H108" s="6"/>
      <c r="I108" s="7"/>
      <c r="J108" s="5" t="str">
        <f>IFERROR(12-(1-I108+VLOOKUP(H108,Справка!$A$2:$B$7,2,FALSE)/100)/0.055,"")</f>
        <v/>
      </c>
    </row>
    <row r="109" spans="1:10" x14ac:dyDescent="0.25">
      <c r="A109" t="s">
        <v>68</v>
      </c>
      <c r="B109">
        <v>145919</v>
      </c>
      <c r="C109">
        <v>-68557</v>
      </c>
      <c r="D109">
        <v>10789</v>
      </c>
      <c r="E109">
        <v>-16</v>
      </c>
      <c r="F109" s="2">
        <v>0</v>
      </c>
      <c r="G109" t="s">
        <v>16</v>
      </c>
      <c r="H109" s="6"/>
      <c r="I109" s="7"/>
      <c r="J109" s="5" t="str">
        <f>IFERROR(12-(1-I109+VLOOKUP(H109,Справка!$A$2:$B$7,2,FALSE)/100)/0.055,"")</f>
        <v/>
      </c>
    </row>
    <row r="110" spans="1:10" x14ac:dyDescent="0.25">
      <c r="A110" t="s">
        <v>293</v>
      </c>
      <c r="B110">
        <v>44570</v>
      </c>
      <c r="C110">
        <v>46989</v>
      </c>
      <c r="D110">
        <v>-9166</v>
      </c>
      <c r="E110">
        <v>-1551</v>
      </c>
      <c r="F110" s="2">
        <v>0.99</v>
      </c>
      <c r="G110" t="s">
        <v>26</v>
      </c>
      <c r="H110" s="6"/>
      <c r="I110" s="7"/>
      <c r="J110" s="5" t="str">
        <f>IFERROR(12-(1-I110+VLOOKUP(H110,Справка!$A$2:$B$7,2,FALSE)/100)/0.055,"")</f>
        <v/>
      </c>
    </row>
    <row r="111" spans="1:10" x14ac:dyDescent="0.25">
      <c r="A111" t="s">
        <v>113</v>
      </c>
      <c r="B111">
        <v>2807</v>
      </c>
      <c r="C111">
        <v>-59216</v>
      </c>
      <c r="D111">
        <v>1391</v>
      </c>
      <c r="E111">
        <v>-1812</v>
      </c>
      <c r="F111" s="2">
        <v>0</v>
      </c>
      <c r="G111" t="s">
        <v>35</v>
      </c>
      <c r="H111" s="3" t="s">
        <v>17</v>
      </c>
      <c r="I111" s="4">
        <v>0.9</v>
      </c>
      <c r="J111" s="5">
        <f>IFERROR(12-(1-I111+VLOOKUP(H111,Справка!$A$2:$B$7,2,FALSE)/100)/0.055,"")</f>
        <v>-0.48727272727272641</v>
      </c>
    </row>
    <row r="112" spans="1:10" x14ac:dyDescent="0.25">
      <c r="A112" t="s">
        <v>391</v>
      </c>
      <c r="B112">
        <v>51132</v>
      </c>
      <c r="C112">
        <v>124633</v>
      </c>
      <c r="D112">
        <v>-14381</v>
      </c>
      <c r="E112">
        <v>550</v>
      </c>
      <c r="F112" s="2">
        <v>0.52</v>
      </c>
      <c r="G112" t="s">
        <v>316</v>
      </c>
      <c r="H112" s="6"/>
      <c r="I112" s="7"/>
      <c r="J112" s="5" t="str">
        <f>IFERROR(12-(1-I112+VLOOKUP(H112,Справка!$A$2:$B$7,2,FALSE)/100)/0.055,"")</f>
        <v/>
      </c>
    </row>
    <row r="113" spans="1:10" x14ac:dyDescent="0.25">
      <c r="A113" t="s">
        <v>238</v>
      </c>
      <c r="B113">
        <v>-132748</v>
      </c>
      <c r="C113">
        <v>38549</v>
      </c>
      <c r="D113">
        <v>-6199</v>
      </c>
      <c r="E113">
        <v>-1294</v>
      </c>
      <c r="F113" s="2">
        <v>0</v>
      </c>
      <c r="G113" t="s">
        <v>89</v>
      </c>
      <c r="H113" s="3" t="s">
        <v>17</v>
      </c>
      <c r="I113" s="4">
        <v>0.85</v>
      </c>
      <c r="J113" s="5">
        <f>IFERROR(12-(1-I113+VLOOKUP(H113,Справка!$A$2:$B$7,2,FALSE)/100)/0.055,"")</f>
        <v>-1.3963636363636365</v>
      </c>
    </row>
    <row r="114" spans="1:10" x14ac:dyDescent="0.25">
      <c r="A114" t="s">
        <v>258</v>
      </c>
      <c r="B114">
        <v>-132337</v>
      </c>
      <c r="C114">
        <v>6656</v>
      </c>
      <c r="D114">
        <v>-7217</v>
      </c>
      <c r="E114">
        <v>-1562</v>
      </c>
      <c r="F114" s="2">
        <v>0</v>
      </c>
      <c r="G114" t="s">
        <v>89</v>
      </c>
      <c r="H114" s="6"/>
      <c r="I114" s="7"/>
      <c r="J114" s="5" t="str">
        <f>IFERROR(12-(1-I114+VLOOKUP(H114,Справка!$A$2:$B$7,2,FALSE)/100)/0.055,"")</f>
        <v/>
      </c>
    </row>
    <row r="115" spans="1:10" x14ac:dyDescent="0.25">
      <c r="A115" t="s">
        <v>394</v>
      </c>
      <c r="B115">
        <v>-48837</v>
      </c>
      <c r="C115">
        <v>107198</v>
      </c>
      <c r="D115">
        <v>-15001</v>
      </c>
      <c r="E115">
        <v>-1839</v>
      </c>
      <c r="F115" s="2">
        <v>0.06</v>
      </c>
      <c r="G115" t="s">
        <v>108</v>
      </c>
      <c r="H115" s="6"/>
      <c r="I115" s="7"/>
      <c r="J115" s="5" t="str">
        <f>IFERROR(12-(1-I115+VLOOKUP(H115,Справка!$A$2:$B$7,2,FALSE)/100)/0.055,"")</f>
        <v/>
      </c>
    </row>
    <row r="116" spans="1:10" x14ac:dyDescent="0.25">
      <c r="A116" t="s">
        <v>320</v>
      </c>
      <c r="B116">
        <v>116259</v>
      </c>
      <c r="C116">
        <v>111530</v>
      </c>
      <c r="D116">
        <v>-10887</v>
      </c>
      <c r="E116">
        <v>1539</v>
      </c>
      <c r="F116" s="2">
        <v>1</v>
      </c>
      <c r="G116" t="s">
        <v>316</v>
      </c>
      <c r="H116" s="3" t="s">
        <v>14</v>
      </c>
      <c r="I116" s="4">
        <v>0.75</v>
      </c>
      <c r="J116" s="5">
        <f>IFERROR(12-(1-I116+VLOOKUP(H116,Справка!$A$2:$B$7,2,FALSE)/100)/0.055,"")</f>
        <v>-10.650909090909092</v>
      </c>
    </row>
    <row r="117" spans="1:10" x14ac:dyDescent="0.25">
      <c r="A117" t="s">
        <v>180</v>
      </c>
      <c r="B117">
        <v>-171097</v>
      </c>
      <c r="C117">
        <v>6922</v>
      </c>
      <c r="D117">
        <v>-3928</v>
      </c>
      <c r="E117">
        <v>-5474</v>
      </c>
      <c r="F117" s="2">
        <v>0.01</v>
      </c>
      <c r="G117" t="s">
        <v>89</v>
      </c>
      <c r="H117" s="3" t="s">
        <v>17</v>
      </c>
      <c r="I117" s="4">
        <v>0.75</v>
      </c>
      <c r="J117" s="5">
        <f>IFERROR(12-(1-I117+VLOOKUP(H117,Справка!$A$2:$B$7,2,FALSE)/100)/0.055,"")</f>
        <v>-3.2145454545454548</v>
      </c>
    </row>
    <row r="118" spans="1:10" x14ac:dyDescent="0.25">
      <c r="A118" t="s">
        <v>297</v>
      </c>
      <c r="B118">
        <v>55349</v>
      </c>
      <c r="C118">
        <v>34571</v>
      </c>
      <c r="D118">
        <v>-9337</v>
      </c>
      <c r="E118">
        <v>-2515</v>
      </c>
      <c r="F118" s="2">
        <v>0.94</v>
      </c>
      <c r="G118" t="s">
        <v>26</v>
      </c>
      <c r="H118" s="6"/>
      <c r="I118" s="7"/>
      <c r="J118" s="5" t="str">
        <f>IFERROR(12-(1-I118+VLOOKUP(H118,Справка!$A$2:$B$7,2,FALSE)/100)/0.055,"")</f>
        <v/>
      </c>
    </row>
    <row r="119" spans="1:10" x14ac:dyDescent="0.25">
      <c r="A119" t="s">
        <v>53</v>
      </c>
      <c r="B119">
        <v>135829</v>
      </c>
      <c r="C119">
        <v>-75775</v>
      </c>
      <c r="D119">
        <v>11287</v>
      </c>
      <c r="E119">
        <v>36</v>
      </c>
      <c r="F119" s="2">
        <v>0</v>
      </c>
      <c r="G119" t="s">
        <v>16</v>
      </c>
      <c r="H119" s="6"/>
      <c r="I119" s="7"/>
      <c r="J119" s="5" t="str">
        <f>IFERROR(12-(1-I119+VLOOKUP(H119,Справка!$A$2:$B$7,2,FALSE)/100)/0.055,"")</f>
        <v/>
      </c>
    </row>
    <row r="120" spans="1:10" x14ac:dyDescent="0.25">
      <c r="A120" t="s">
        <v>312</v>
      </c>
      <c r="B120">
        <v>21856</v>
      </c>
      <c r="C120">
        <v>79660</v>
      </c>
      <c r="D120">
        <v>-10235</v>
      </c>
      <c r="E120">
        <v>-582</v>
      </c>
      <c r="F120" s="2">
        <v>0.91</v>
      </c>
      <c r="G120" t="s">
        <v>26</v>
      </c>
      <c r="H120" s="6"/>
      <c r="I120" s="7"/>
      <c r="J120" s="5" t="str">
        <f>IFERROR(12-(1-I120+VLOOKUP(H120,Справка!$A$2:$B$7,2,FALSE)/100)/0.055,"")</f>
        <v/>
      </c>
    </row>
    <row r="121" spans="1:10" x14ac:dyDescent="0.25">
      <c r="A121" t="s">
        <v>194</v>
      </c>
      <c r="B121">
        <v>-141732</v>
      </c>
      <c r="C121">
        <v>50230</v>
      </c>
      <c r="D121">
        <v>-4390</v>
      </c>
      <c r="E121">
        <v>1195</v>
      </c>
      <c r="F121" s="2">
        <v>0</v>
      </c>
      <c r="G121" t="s">
        <v>89</v>
      </c>
      <c r="H121" s="6"/>
      <c r="I121" s="7"/>
      <c r="J121" s="5" t="str">
        <f>IFERROR(12-(1-I121+VLOOKUP(H121,Справка!$A$2:$B$7,2,FALSE)/100)/0.055,"")</f>
        <v/>
      </c>
    </row>
    <row r="122" spans="1:10" x14ac:dyDescent="0.25">
      <c r="A122" t="s">
        <v>160</v>
      </c>
      <c r="B122">
        <v>-55070</v>
      </c>
      <c r="C122">
        <v>-87686</v>
      </c>
      <c r="D122">
        <v>-2360</v>
      </c>
      <c r="E122">
        <v>-3007</v>
      </c>
      <c r="F122" s="2">
        <v>0</v>
      </c>
      <c r="G122" t="s">
        <v>35</v>
      </c>
      <c r="H122" s="6"/>
      <c r="I122" s="7"/>
      <c r="J122" s="5" t="str">
        <f>IFERROR(12-(1-I122+VLOOKUP(H122,Справка!$A$2:$B$7,2,FALSE)/100)/0.055,"")</f>
        <v/>
      </c>
    </row>
    <row r="123" spans="1:10" x14ac:dyDescent="0.25">
      <c r="A123" t="s">
        <v>148</v>
      </c>
      <c r="B123">
        <v>63808</v>
      </c>
      <c r="C123">
        <v>9247</v>
      </c>
      <c r="D123">
        <v>-818</v>
      </c>
      <c r="E123">
        <v>1586</v>
      </c>
      <c r="F123" s="2">
        <v>0.05</v>
      </c>
      <c r="G123" t="s">
        <v>108</v>
      </c>
      <c r="H123" s="6"/>
      <c r="I123" s="7"/>
      <c r="J123" s="5" t="str">
        <f>IFERROR(12-(1-I123+VLOOKUP(H123,Справка!$A$2:$B$7,2,FALSE)/100)/0.055,"")</f>
        <v/>
      </c>
    </row>
    <row r="124" spans="1:10" x14ac:dyDescent="0.25">
      <c r="A124" t="s">
        <v>215</v>
      </c>
      <c r="B124">
        <v>5445</v>
      </c>
      <c r="C124">
        <v>64838</v>
      </c>
      <c r="D124">
        <v>-5072</v>
      </c>
      <c r="E124">
        <v>1434</v>
      </c>
      <c r="F124" s="2">
        <v>0.98</v>
      </c>
      <c r="G124" t="s">
        <v>26</v>
      </c>
      <c r="H124" s="6"/>
      <c r="I124" s="7"/>
      <c r="J124" s="5" t="str">
        <f>IFERROR(12-(1-I124+VLOOKUP(H124,Справка!$A$2:$B$7,2,FALSE)/100)/0.055,"")</f>
        <v/>
      </c>
    </row>
    <row r="125" spans="1:10" x14ac:dyDescent="0.25">
      <c r="A125" t="s">
        <v>52</v>
      </c>
      <c r="B125">
        <v>161077</v>
      </c>
      <c r="C125">
        <v>-119789</v>
      </c>
      <c r="D125">
        <v>11392</v>
      </c>
      <c r="E125">
        <v>-5002</v>
      </c>
      <c r="F125" s="2">
        <v>0</v>
      </c>
      <c r="G125" t="s">
        <v>16</v>
      </c>
      <c r="H125" s="6"/>
      <c r="I125" s="7"/>
      <c r="J125" s="5" t="str">
        <f>IFERROR(12-(1-I125+VLOOKUP(H125,Справка!$A$2:$B$7,2,FALSE)/100)/0.055,"")</f>
        <v/>
      </c>
    </row>
    <row r="126" spans="1:10" x14ac:dyDescent="0.25">
      <c r="A126" t="s">
        <v>24</v>
      </c>
      <c r="B126">
        <v>336</v>
      </c>
      <c r="C126">
        <v>-110710</v>
      </c>
      <c r="D126">
        <v>15424</v>
      </c>
      <c r="E126">
        <v>-4023</v>
      </c>
      <c r="F126" s="2">
        <v>0.9</v>
      </c>
      <c r="G126" t="s">
        <v>11</v>
      </c>
      <c r="H126" s="3" t="s">
        <v>12</v>
      </c>
      <c r="I126" s="4">
        <v>0.75</v>
      </c>
      <c r="J126" s="5">
        <f>IFERROR(12-(1-I126+VLOOKUP(H126,Справка!$A$2:$B$7,2,FALSE)/100)/0.055,"")</f>
        <v>-18.087272727272723</v>
      </c>
    </row>
    <row r="127" spans="1:10" x14ac:dyDescent="0.25">
      <c r="A127" t="s">
        <v>182</v>
      </c>
      <c r="B127">
        <v>70652</v>
      </c>
      <c r="C127">
        <v>57153</v>
      </c>
      <c r="D127">
        <v>-4068</v>
      </c>
      <c r="E127">
        <v>-447</v>
      </c>
      <c r="F127" s="2">
        <v>0.98</v>
      </c>
      <c r="G127" t="s">
        <v>26</v>
      </c>
      <c r="H127" s="6"/>
      <c r="I127" s="7"/>
      <c r="J127" s="5" t="str">
        <f>IFERROR(12-(1-I127+VLOOKUP(H127,Справка!$A$2:$B$7,2,FALSE)/100)/0.055,"")</f>
        <v/>
      </c>
    </row>
    <row r="128" spans="1:10" x14ac:dyDescent="0.25">
      <c r="A128" t="s">
        <v>364</v>
      </c>
      <c r="B128">
        <v>157767</v>
      </c>
      <c r="C128">
        <v>47259</v>
      </c>
      <c r="D128">
        <v>-13624</v>
      </c>
      <c r="E128">
        <v>-1532</v>
      </c>
      <c r="F128" s="2">
        <v>1</v>
      </c>
      <c r="G128" t="s">
        <v>26</v>
      </c>
      <c r="H128" s="6"/>
      <c r="I128" s="7"/>
      <c r="J128" s="5" t="str">
        <f>IFERROR(12-(1-I128+VLOOKUP(H128,Справка!$A$2:$B$7,2,FALSE)/100)/0.055,"")</f>
        <v/>
      </c>
    </row>
    <row r="129" spans="1:10" x14ac:dyDescent="0.25">
      <c r="A129" t="s">
        <v>55</v>
      </c>
      <c r="B129">
        <v>79476</v>
      </c>
      <c r="C129">
        <v>-62330</v>
      </c>
      <c r="D129">
        <v>11209</v>
      </c>
      <c r="E129">
        <v>-1691</v>
      </c>
      <c r="F129" s="2">
        <v>0</v>
      </c>
      <c r="G129" t="s">
        <v>16</v>
      </c>
      <c r="H129" s="6"/>
      <c r="I129" s="7"/>
      <c r="J129" s="5" t="str">
        <f>IFERROR(12-(1-I129+VLOOKUP(H129,Справка!$A$2:$B$7,2,FALSE)/100)/0.055,"")</f>
        <v/>
      </c>
    </row>
    <row r="130" spans="1:10" x14ac:dyDescent="0.25">
      <c r="A130" t="s">
        <v>279</v>
      </c>
      <c r="B130">
        <v>-18641</v>
      </c>
      <c r="C130">
        <v>42159</v>
      </c>
      <c r="D130">
        <v>-8202</v>
      </c>
      <c r="E130">
        <v>-2737</v>
      </c>
      <c r="F130" s="2">
        <v>0.98</v>
      </c>
      <c r="G130" t="s">
        <v>257</v>
      </c>
      <c r="H130" s="6"/>
      <c r="I130" s="7"/>
      <c r="J130" s="5" t="str">
        <f>IFERROR(12-(1-I130+VLOOKUP(H130,Справка!$A$2:$B$7,2,FALSE)/100)/0.055,"")</f>
        <v/>
      </c>
    </row>
    <row r="131" spans="1:10" x14ac:dyDescent="0.25">
      <c r="A131" t="s">
        <v>42</v>
      </c>
      <c r="B131">
        <v>-26614</v>
      </c>
      <c r="C131">
        <v>-104900</v>
      </c>
      <c r="D131">
        <v>12539</v>
      </c>
      <c r="E131">
        <v>2301</v>
      </c>
      <c r="F131" s="2">
        <v>0.81</v>
      </c>
      <c r="G131" t="s">
        <v>43</v>
      </c>
      <c r="H131" s="6"/>
      <c r="I131" s="7"/>
      <c r="J131" s="5" t="str">
        <f>IFERROR(12-(1-I131+VLOOKUP(H131,Справка!$A$2:$B$7,2,FALSE)/100)/0.055,"")</f>
        <v/>
      </c>
    </row>
    <row r="132" spans="1:10" x14ac:dyDescent="0.25">
      <c r="A132" t="s">
        <v>228</v>
      </c>
      <c r="B132">
        <v>-70776</v>
      </c>
      <c r="C132">
        <v>21483</v>
      </c>
      <c r="D132">
        <v>-5598</v>
      </c>
      <c r="E132">
        <v>804</v>
      </c>
      <c r="F132" s="2">
        <v>0</v>
      </c>
      <c r="G132" t="s">
        <v>108</v>
      </c>
      <c r="H132" s="6"/>
      <c r="I132" s="7"/>
      <c r="J132" s="5" t="str">
        <f>IFERROR(12-(1-I132+VLOOKUP(H132,Справка!$A$2:$B$7,2,FALSE)/100)/0.055,"")</f>
        <v/>
      </c>
    </row>
    <row r="133" spans="1:10" x14ac:dyDescent="0.25">
      <c r="A133" t="s">
        <v>277</v>
      </c>
      <c r="B133">
        <v>-129040</v>
      </c>
      <c r="C133">
        <v>9360</v>
      </c>
      <c r="D133">
        <v>-8184</v>
      </c>
      <c r="E133">
        <v>-3004</v>
      </c>
      <c r="F133" s="2">
        <v>0</v>
      </c>
      <c r="G133" t="s">
        <v>89</v>
      </c>
      <c r="H133" s="6"/>
      <c r="I133" s="7"/>
      <c r="J133" s="5" t="str">
        <f>IFERROR(12-(1-I133+VLOOKUP(H133,Справка!$A$2:$B$7,2,FALSE)/100)/0.055,"")</f>
        <v/>
      </c>
    </row>
    <row r="134" spans="1:10" x14ac:dyDescent="0.25">
      <c r="A134" t="s">
        <v>328</v>
      </c>
      <c r="B134">
        <v>111748</v>
      </c>
      <c r="C134">
        <v>-14306</v>
      </c>
      <c r="D134">
        <v>-11516</v>
      </c>
      <c r="E134">
        <v>-1065</v>
      </c>
      <c r="F134" s="2">
        <v>0</v>
      </c>
      <c r="G134" t="s">
        <v>271</v>
      </c>
      <c r="H134" s="6"/>
      <c r="I134" s="7"/>
      <c r="J134" s="5" t="str">
        <f>IFERROR(12-(1-I134+VLOOKUP(H134,Справка!$A$2:$B$7,2,FALSE)/100)/0.055,"")</f>
        <v/>
      </c>
    </row>
    <row r="135" spans="1:10" x14ac:dyDescent="0.25">
      <c r="A135" t="s">
        <v>236</v>
      </c>
      <c r="B135">
        <v>-39379</v>
      </c>
      <c r="C135">
        <v>-18164</v>
      </c>
      <c r="D135">
        <v>-6113</v>
      </c>
      <c r="E135">
        <v>-753</v>
      </c>
      <c r="F135" s="2">
        <v>0</v>
      </c>
      <c r="G135" t="s">
        <v>108</v>
      </c>
      <c r="H135" s="6"/>
      <c r="I135" s="7"/>
      <c r="J135" s="5" t="str">
        <f>IFERROR(12-(1-I135+VLOOKUP(H135,Справка!$A$2:$B$7,2,FALSE)/100)/0.055,"")</f>
        <v/>
      </c>
    </row>
    <row r="136" spans="1:10" x14ac:dyDescent="0.25">
      <c r="A136" t="s">
        <v>212</v>
      </c>
      <c r="B136">
        <v>2904</v>
      </c>
      <c r="C136">
        <v>15859</v>
      </c>
      <c r="D136">
        <v>-5024</v>
      </c>
      <c r="E136">
        <v>-499</v>
      </c>
      <c r="F136" s="2">
        <v>0</v>
      </c>
      <c r="G136" t="s">
        <v>108</v>
      </c>
      <c r="H136" s="6"/>
      <c r="I136" s="7"/>
      <c r="J136" s="5" t="str">
        <f>IFERROR(12-(1-I136+VLOOKUP(H136,Справка!$A$2:$B$7,2,FALSE)/100)/0.055,"")</f>
        <v/>
      </c>
    </row>
    <row r="137" spans="1:10" x14ac:dyDescent="0.25">
      <c r="A137" t="s">
        <v>204</v>
      </c>
      <c r="B137">
        <v>16500</v>
      </c>
      <c r="C137">
        <v>18919</v>
      </c>
      <c r="D137">
        <v>-4610</v>
      </c>
      <c r="E137">
        <v>-580</v>
      </c>
      <c r="F137" s="2">
        <v>0</v>
      </c>
      <c r="G137" t="s">
        <v>108</v>
      </c>
      <c r="H137" s="6"/>
      <c r="I137" s="7"/>
      <c r="J137" s="5" t="str">
        <f>IFERROR(12-(1-I137+VLOOKUP(H137,Справка!$A$2:$B$7,2,FALSE)/100)/0.055,"")</f>
        <v/>
      </c>
    </row>
    <row r="138" spans="1:10" x14ac:dyDescent="0.25">
      <c r="A138" t="s">
        <v>69</v>
      </c>
      <c r="B138">
        <v>135308</v>
      </c>
      <c r="C138">
        <v>-110597</v>
      </c>
      <c r="D138">
        <v>10745</v>
      </c>
      <c r="E138">
        <v>-4583</v>
      </c>
      <c r="F138" s="2">
        <v>0.01</v>
      </c>
      <c r="G138" t="s">
        <v>16</v>
      </c>
      <c r="H138" s="6"/>
      <c r="I138" s="7"/>
      <c r="J138" s="5" t="str">
        <f>IFERROR(12-(1-I138+VLOOKUP(H138,Справка!$A$2:$B$7,2,FALSE)/100)/0.055,"")</f>
        <v/>
      </c>
    </row>
    <row r="139" spans="1:10" x14ac:dyDescent="0.25">
      <c r="A139" t="s">
        <v>209</v>
      </c>
      <c r="B139">
        <v>-132982</v>
      </c>
      <c r="C139">
        <v>80261</v>
      </c>
      <c r="D139">
        <v>-4952</v>
      </c>
      <c r="E139">
        <v>1560</v>
      </c>
      <c r="F139" s="2">
        <v>0.8</v>
      </c>
      <c r="G139" t="s">
        <v>108</v>
      </c>
      <c r="H139" s="6"/>
      <c r="I139" s="7"/>
      <c r="J139" s="5" t="str">
        <f>IFERROR(12-(1-I139+VLOOKUP(H139,Справка!$A$2:$B$7,2,FALSE)/100)/0.055,"")</f>
        <v/>
      </c>
    </row>
    <row r="140" spans="1:10" x14ac:dyDescent="0.25">
      <c r="A140" t="s">
        <v>355</v>
      </c>
      <c r="B140">
        <v>109029</v>
      </c>
      <c r="C140">
        <v>-6469</v>
      </c>
      <c r="D140">
        <v>-13181</v>
      </c>
      <c r="E140">
        <v>-2991</v>
      </c>
      <c r="F140" s="2">
        <v>0</v>
      </c>
      <c r="G140" t="s">
        <v>271</v>
      </c>
      <c r="H140" s="6"/>
      <c r="I140" s="7"/>
      <c r="J140" s="5" t="str">
        <f>IFERROR(12-(1-I140+VLOOKUP(H140,Справка!$A$2:$B$7,2,FALSE)/100)/0.055,"")</f>
        <v/>
      </c>
    </row>
    <row r="141" spans="1:10" x14ac:dyDescent="0.25">
      <c r="A141" t="s">
        <v>369</v>
      </c>
      <c r="B141">
        <v>-31904</v>
      </c>
      <c r="C141">
        <v>77295</v>
      </c>
      <c r="D141">
        <v>-13713</v>
      </c>
      <c r="E141">
        <v>-352</v>
      </c>
      <c r="F141" s="2">
        <v>0.83</v>
      </c>
      <c r="G141" t="s">
        <v>354</v>
      </c>
      <c r="H141" s="6"/>
      <c r="I141" s="7"/>
      <c r="J141" s="5" t="str">
        <f>IFERROR(12-(1-I141+VLOOKUP(H141,Справка!$A$2:$B$7,2,FALSE)/100)/0.055,"")</f>
        <v/>
      </c>
    </row>
    <row r="142" spans="1:10" x14ac:dyDescent="0.25">
      <c r="A142" t="s">
        <v>245</v>
      </c>
      <c r="B142">
        <v>-46079</v>
      </c>
      <c r="C142">
        <v>2081</v>
      </c>
      <c r="D142">
        <v>-6584</v>
      </c>
      <c r="E142">
        <v>-380</v>
      </c>
      <c r="F142" s="2">
        <v>0</v>
      </c>
      <c r="G142" t="s">
        <v>108</v>
      </c>
      <c r="H142" s="6"/>
      <c r="I142" s="7"/>
      <c r="J142" s="5" t="str">
        <f>IFERROR(12-(1-I142+VLOOKUP(H142,Справка!$A$2:$B$7,2,FALSE)/100)/0.055,"")</f>
        <v/>
      </c>
    </row>
    <row r="143" spans="1:10" x14ac:dyDescent="0.25">
      <c r="A143" t="s">
        <v>226</v>
      </c>
      <c r="B143">
        <v>-117661</v>
      </c>
      <c r="C143">
        <v>6257</v>
      </c>
      <c r="D143">
        <v>-5540</v>
      </c>
      <c r="E143">
        <v>-1778</v>
      </c>
      <c r="F143" s="2">
        <v>0</v>
      </c>
      <c r="G143" t="s">
        <v>89</v>
      </c>
      <c r="H143" s="6"/>
      <c r="I143" s="7"/>
      <c r="J143" s="5" t="str">
        <f>IFERROR(12-(1-I143+VLOOKUP(H143,Справка!$A$2:$B$7,2,FALSE)/100)/0.055,"")</f>
        <v/>
      </c>
    </row>
    <row r="144" spans="1:10" x14ac:dyDescent="0.25">
      <c r="A144" t="s">
        <v>65</v>
      </c>
      <c r="B144">
        <v>191591</v>
      </c>
      <c r="C144">
        <v>-109395</v>
      </c>
      <c r="D144">
        <v>10841</v>
      </c>
      <c r="E144">
        <v>-1704</v>
      </c>
      <c r="F144" s="2">
        <v>0.1</v>
      </c>
      <c r="G144" t="s">
        <v>16</v>
      </c>
      <c r="H144" s="6"/>
      <c r="I144" s="7"/>
      <c r="J144" s="5" t="str">
        <f>IFERROR(12-(1-I144+VLOOKUP(H144,Справка!$A$2:$B$7,2,FALSE)/100)/0.055,"")</f>
        <v/>
      </c>
    </row>
    <row r="145" spans="1:10" x14ac:dyDescent="0.25">
      <c r="A145" t="s">
        <v>192</v>
      </c>
      <c r="B145">
        <v>-156935</v>
      </c>
      <c r="C145">
        <v>1223</v>
      </c>
      <c r="D145">
        <v>-4361</v>
      </c>
      <c r="E145">
        <v>-1572</v>
      </c>
      <c r="F145" s="2">
        <v>0</v>
      </c>
      <c r="G145" t="s">
        <v>89</v>
      </c>
      <c r="H145" s="6"/>
      <c r="I145" s="7"/>
      <c r="J145" s="5" t="str">
        <f>IFERROR(12-(1-I145+VLOOKUP(H145,Справка!$A$2:$B$7,2,FALSE)/100)/0.055,"")</f>
        <v/>
      </c>
    </row>
    <row r="146" spans="1:10" x14ac:dyDescent="0.25">
      <c r="A146" t="s">
        <v>192</v>
      </c>
      <c r="B146">
        <v>-156879</v>
      </c>
      <c r="C146">
        <v>1341</v>
      </c>
      <c r="D146">
        <v>-4382</v>
      </c>
      <c r="E146">
        <v>-1593</v>
      </c>
      <c r="F146" s="2">
        <v>0</v>
      </c>
      <c r="G146" t="s">
        <v>89</v>
      </c>
      <c r="H146" s="6"/>
      <c r="I146" s="7"/>
      <c r="J146" s="5" t="str">
        <f>IFERROR(12-(1-I146+VLOOKUP(H146,Справка!$A$2:$B$7,2,FALSE)/100)/0.055,"")</f>
        <v/>
      </c>
    </row>
    <row r="147" spans="1:10" x14ac:dyDescent="0.25">
      <c r="A147" t="s">
        <v>193</v>
      </c>
      <c r="B147">
        <v>30930</v>
      </c>
      <c r="C147">
        <v>-17711</v>
      </c>
      <c r="D147">
        <v>-4362</v>
      </c>
      <c r="E147">
        <v>-3691</v>
      </c>
      <c r="F147" s="2">
        <v>0</v>
      </c>
      <c r="G147" t="s">
        <v>108</v>
      </c>
      <c r="H147" s="6"/>
      <c r="I147" s="7"/>
      <c r="J147" s="5" t="str">
        <f>IFERROR(12-(1-I147+VLOOKUP(H147,Справка!$A$2:$B$7,2,FALSE)/100)/0.055,"")</f>
        <v/>
      </c>
    </row>
    <row r="148" spans="1:10" x14ac:dyDescent="0.25">
      <c r="A148" t="s">
        <v>63</v>
      </c>
      <c r="B148">
        <v>79468</v>
      </c>
      <c r="C148">
        <v>-76044</v>
      </c>
      <c r="D148">
        <v>10985</v>
      </c>
      <c r="E148">
        <v>-2124</v>
      </c>
      <c r="F148" s="2">
        <v>0.02</v>
      </c>
      <c r="G148" t="s">
        <v>16</v>
      </c>
      <c r="H148" s="6"/>
      <c r="I148" s="7"/>
      <c r="J148" s="5" t="str">
        <f>IFERROR(12-(1-I148+VLOOKUP(H148,Справка!$A$2:$B$7,2,FALSE)/100)/0.055,"")</f>
        <v/>
      </c>
    </row>
    <row r="149" spans="1:10" x14ac:dyDescent="0.25">
      <c r="A149" t="s">
        <v>384</v>
      </c>
      <c r="B149">
        <v>-33199</v>
      </c>
      <c r="C149">
        <v>109071</v>
      </c>
      <c r="D149">
        <v>-14190</v>
      </c>
      <c r="E149">
        <v>-207</v>
      </c>
      <c r="F149" s="2">
        <v>0.74</v>
      </c>
      <c r="G149" t="s">
        <v>362</v>
      </c>
      <c r="H149" s="6"/>
      <c r="I149" s="7"/>
      <c r="J149" s="5" t="str">
        <f>IFERROR(12-(1-I149+VLOOKUP(H149,Справка!$A$2:$B$7,2,FALSE)/100)/0.055,"")</f>
        <v/>
      </c>
    </row>
    <row r="150" spans="1:10" x14ac:dyDescent="0.25">
      <c r="A150" t="s">
        <v>377</v>
      </c>
      <c r="B150">
        <v>137923</v>
      </c>
      <c r="C150">
        <v>107239</v>
      </c>
      <c r="D150">
        <v>-13905</v>
      </c>
      <c r="E150">
        <v>44</v>
      </c>
      <c r="F150" s="2">
        <v>0.56999999999999995</v>
      </c>
      <c r="G150" t="s">
        <v>316</v>
      </c>
      <c r="H150" s="3" t="s">
        <v>14</v>
      </c>
      <c r="I150" s="4">
        <v>0.75</v>
      </c>
      <c r="J150" s="5">
        <f>IFERROR(12-(1-I150+VLOOKUP(H150,Справка!$A$2:$B$7,2,FALSE)/100)/0.055,"")</f>
        <v>-10.650909090909092</v>
      </c>
    </row>
    <row r="151" spans="1:10" x14ac:dyDescent="0.25">
      <c r="A151" t="s">
        <v>385</v>
      </c>
      <c r="B151">
        <v>171429</v>
      </c>
      <c r="C151">
        <v>65473</v>
      </c>
      <c r="D151">
        <v>-14201</v>
      </c>
      <c r="E151">
        <v>-719</v>
      </c>
      <c r="F151" s="2">
        <v>1</v>
      </c>
      <c r="G151" t="s">
        <v>316</v>
      </c>
      <c r="H151" s="3" t="s">
        <v>14</v>
      </c>
      <c r="I151" s="4">
        <v>0.75</v>
      </c>
      <c r="J151" s="5">
        <f>IFERROR(12-(1-I151+VLOOKUP(H151,Справка!$A$2:$B$7,2,FALSE)/100)/0.055,"")</f>
        <v>-10.650909090909092</v>
      </c>
    </row>
    <row r="152" spans="1:10" x14ac:dyDescent="0.25">
      <c r="A152" t="s">
        <v>383</v>
      </c>
      <c r="B152">
        <v>-2369</v>
      </c>
      <c r="C152">
        <v>119364</v>
      </c>
      <c r="D152">
        <v>-14105</v>
      </c>
      <c r="E152">
        <v>271</v>
      </c>
      <c r="F152" s="2">
        <v>0.09</v>
      </c>
      <c r="G152" t="s">
        <v>316</v>
      </c>
      <c r="H152" s="6"/>
      <c r="I152" s="7"/>
      <c r="J152" s="5" t="str">
        <f>IFERROR(12-(1-I152+VLOOKUP(H152,Справка!$A$2:$B$7,2,FALSE)/100)/0.055,"")</f>
        <v/>
      </c>
    </row>
    <row r="153" spans="1:10" x14ac:dyDescent="0.25">
      <c r="A153" t="s">
        <v>334</v>
      </c>
      <c r="B153">
        <v>6984</v>
      </c>
      <c r="C153">
        <v>83956</v>
      </c>
      <c r="D153">
        <v>-12060</v>
      </c>
      <c r="E153">
        <v>-1142</v>
      </c>
      <c r="F153" s="2">
        <v>0.98</v>
      </c>
      <c r="G153" t="s">
        <v>26</v>
      </c>
      <c r="H153" s="6"/>
      <c r="I153" s="7"/>
      <c r="J153" s="5" t="str">
        <f>IFERROR(12-(1-I153+VLOOKUP(H153,Справка!$A$2:$B$7,2,FALSE)/100)/0.055,"")</f>
        <v/>
      </c>
    </row>
    <row r="154" spans="1:10" x14ac:dyDescent="0.25">
      <c r="A154" t="s">
        <v>185</v>
      </c>
      <c r="B154">
        <v>167808</v>
      </c>
      <c r="C154">
        <v>-13282</v>
      </c>
      <c r="D154">
        <v>-4202</v>
      </c>
      <c r="E154">
        <v>-2324</v>
      </c>
      <c r="F154" s="2">
        <v>0.06</v>
      </c>
      <c r="G154" t="s">
        <v>35</v>
      </c>
      <c r="H154" s="6"/>
      <c r="I154" s="7"/>
      <c r="J154" s="5" t="str">
        <f>IFERROR(12-(1-I154+VLOOKUP(H154,Справка!$A$2:$B$7,2,FALSE)/100)/0.055,"")</f>
        <v/>
      </c>
    </row>
    <row r="155" spans="1:10" x14ac:dyDescent="0.25">
      <c r="A155" t="s">
        <v>231</v>
      </c>
      <c r="B155">
        <v>-62276</v>
      </c>
      <c r="C155">
        <v>-9459</v>
      </c>
      <c r="D155">
        <v>-5907</v>
      </c>
      <c r="E155">
        <v>-1371</v>
      </c>
      <c r="F155" s="2">
        <v>0</v>
      </c>
      <c r="G155" t="s">
        <v>108</v>
      </c>
      <c r="H155" s="6"/>
      <c r="I155" s="7"/>
      <c r="J155" s="5" t="str">
        <f>IFERROR(12-(1-I155+VLOOKUP(H155,Справка!$A$2:$B$7,2,FALSE)/100)/0.055,"")</f>
        <v/>
      </c>
    </row>
    <row r="156" spans="1:10" x14ac:dyDescent="0.25">
      <c r="A156" t="s">
        <v>242</v>
      </c>
      <c r="B156">
        <v>-151658</v>
      </c>
      <c r="C156">
        <v>81847</v>
      </c>
      <c r="D156">
        <v>-6543</v>
      </c>
      <c r="E156">
        <v>-1343</v>
      </c>
      <c r="F156" s="2">
        <v>0.09</v>
      </c>
      <c r="G156" t="s">
        <v>89</v>
      </c>
      <c r="H156" s="6"/>
      <c r="I156" s="7"/>
      <c r="J156" s="5" t="str">
        <f>IFERROR(12-(1-I156+VLOOKUP(H156,Справка!$A$2:$B$7,2,FALSE)/100)/0.055,"")</f>
        <v/>
      </c>
    </row>
    <row r="157" spans="1:10" x14ac:dyDescent="0.25">
      <c r="A157" t="s">
        <v>313</v>
      </c>
      <c r="B157">
        <v>119161</v>
      </c>
      <c r="C157">
        <v>19394</v>
      </c>
      <c r="D157">
        <v>-10299</v>
      </c>
      <c r="E157">
        <v>1090</v>
      </c>
      <c r="F157" s="2">
        <v>0.49</v>
      </c>
      <c r="G157" t="s">
        <v>26</v>
      </c>
      <c r="H157" s="6"/>
      <c r="I157" s="7"/>
      <c r="J157" s="5" t="str">
        <f>IFERROR(12-(1-I157+VLOOKUP(H157,Справка!$A$2:$B$7,2,FALSE)/100)/0.055,"")</f>
        <v/>
      </c>
    </row>
    <row r="158" spans="1:10" x14ac:dyDescent="0.25">
      <c r="A158" t="s">
        <v>280</v>
      </c>
      <c r="B158">
        <v>-143621</v>
      </c>
      <c r="C158">
        <v>105374</v>
      </c>
      <c r="D158">
        <v>-8204</v>
      </c>
      <c r="E158">
        <v>805</v>
      </c>
      <c r="F158" s="2">
        <v>0.91</v>
      </c>
      <c r="G158" t="s">
        <v>11</v>
      </c>
      <c r="H158" s="6"/>
      <c r="I158" s="7"/>
      <c r="J158" s="5" t="str">
        <f>IFERROR(12-(1-I158+VLOOKUP(H158,Справка!$A$2:$B$7,2,FALSE)/100)/0.055,"")</f>
        <v/>
      </c>
    </row>
    <row r="159" spans="1:10" x14ac:dyDescent="0.25">
      <c r="A159" t="s">
        <v>374</v>
      </c>
      <c r="B159">
        <v>-38640</v>
      </c>
      <c r="C159">
        <v>66734</v>
      </c>
      <c r="D159">
        <v>-13882</v>
      </c>
      <c r="E159">
        <v>-882</v>
      </c>
      <c r="F159" s="2">
        <v>0.85</v>
      </c>
      <c r="G159" t="s">
        <v>354</v>
      </c>
      <c r="H159" s="3" t="s">
        <v>14</v>
      </c>
      <c r="I159" s="4">
        <v>0.85</v>
      </c>
      <c r="J159" s="5">
        <f>IFERROR(12-(1-I159+VLOOKUP(H159,Справка!$A$2:$B$7,2,FALSE)/100)/0.055,"")</f>
        <v>-8.8327272727272721</v>
      </c>
    </row>
    <row r="160" spans="1:10" x14ac:dyDescent="0.25">
      <c r="A160" t="s">
        <v>222</v>
      </c>
      <c r="B160">
        <v>-100254</v>
      </c>
      <c r="C160">
        <v>-24966</v>
      </c>
      <c r="D160">
        <v>-5428</v>
      </c>
      <c r="E160">
        <v>-4348</v>
      </c>
      <c r="F160" s="2">
        <v>0</v>
      </c>
      <c r="G160" t="s">
        <v>89</v>
      </c>
      <c r="H160" s="6"/>
      <c r="I160" s="7"/>
      <c r="J160" s="5" t="str">
        <f>IFERROR(12-(1-I160+VLOOKUP(H160,Справка!$A$2:$B$7,2,FALSE)/100)/0.055,"")</f>
        <v/>
      </c>
    </row>
    <row r="161" spans="1:10" x14ac:dyDescent="0.25">
      <c r="A161" t="s">
        <v>115</v>
      </c>
      <c r="B161">
        <v>-56529</v>
      </c>
      <c r="C161">
        <v>-49859</v>
      </c>
      <c r="D161">
        <v>1304</v>
      </c>
      <c r="E161">
        <v>1163</v>
      </c>
      <c r="F161" s="2">
        <v>0</v>
      </c>
      <c r="G161" t="s">
        <v>35</v>
      </c>
      <c r="H161" s="6"/>
      <c r="I161" s="7"/>
      <c r="J161" s="5" t="str">
        <f>IFERROR(12-(1-I161+VLOOKUP(H161,Справка!$A$2:$B$7,2,FALSE)/100)/0.055,"")</f>
        <v/>
      </c>
    </row>
    <row r="162" spans="1:10" x14ac:dyDescent="0.25">
      <c r="A162" t="s">
        <v>198</v>
      </c>
      <c r="B162">
        <v>-132700</v>
      </c>
      <c r="C162">
        <v>22432</v>
      </c>
      <c r="D162">
        <v>-4437</v>
      </c>
      <c r="E162">
        <v>376</v>
      </c>
      <c r="F162" s="2">
        <v>0</v>
      </c>
      <c r="G162" t="s">
        <v>89</v>
      </c>
      <c r="H162" s="6"/>
      <c r="I162" s="7"/>
      <c r="J162" s="5" t="str">
        <f>IFERROR(12-(1-I162+VLOOKUP(H162,Справка!$A$2:$B$7,2,FALSE)/100)/0.055,"")</f>
        <v/>
      </c>
    </row>
    <row r="163" spans="1:10" x14ac:dyDescent="0.25">
      <c r="A163" t="s">
        <v>195</v>
      </c>
      <c r="B163">
        <v>158054</v>
      </c>
      <c r="C163">
        <v>10036</v>
      </c>
      <c r="D163">
        <v>-4399</v>
      </c>
      <c r="E163">
        <v>-1224</v>
      </c>
      <c r="F163" s="2">
        <v>0.85</v>
      </c>
      <c r="G163" t="s">
        <v>26</v>
      </c>
      <c r="H163" s="6"/>
      <c r="I163" s="7"/>
      <c r="J163" s="5" t="str">
        <f>IFERROR(12-(1-I163+VLOOKUP(H163,Справка!$A$2:$B$7,2,FALSE)/100)/0.055,"")</f>
        <v/>
      </c>
    </row>
    <row r="164" spans="1:10" x14ac:dyDescent="0.25">
      <c r="A164" t="s">
        <v>225</v>
      </c>
      <c r="B164">
        <v>99977</v>
      </c>
      <c r="C164">
        <v>78694</v>
      </c>
      <c r="D164">
        <v>-5533</v>
      </c>
      <c r="E164">
        <v>-2029</v>
      </c>
      <c r="F164" s="2">
        <v>0.96</v>
      </c>
      <c r="G164" t="s">
        <v>26</v>
      </c>
      <c r="H164" s="6"/>
      <c r="I164" s="7"/>
      <c r="J164" s="5" t="str">
        <f>IFERROR(12-(1-I164+VLOOKUP(H164,Справка!$A$2:$B$7,2,FALSE)/100)/0.055,"")</f>
        <v/>
      </c>
    </row>
    <row r="165" spans="1:10" x14ac:dyDescent="0.25">
      <c r="A165" t="s">
        <v>366</v>
      </c>
      <c r="B165">
        <v>-130864</v>
      </c>
      <c r="C165">
        <v>120264</v>
      </c>
      <c r="D165">
        <v>-13663</v>
      </c>
      <c r="E165">
        <v>-1883</v>
      </c>
      <c r="F165" s="2">
        <v>0.6</v>
      </c>
      <c r="G165" t="s">
        <v>316</v>
      </c>
      <c r="H165" s="6"/>
      <c r="I165" s="7"/>
      <c r="J165" s="5" t="str">
        <f>IFERROR(12-(1-I165+VLOOKUP(H165,Справка!$A$2:$B$7,2,FALSE)/100)/0.055,"")</f>
        <v/>
      </c>
    </row>
    <row r="166" spans="1:10" x14ac:dyDescent="0.25">
      <c r="A166" t="s">
        <v>45</v>
      </c>
      <c r="B166">
        <v>100683</v>
      </c>
      <c r="C166">
        <v>-58662</v>
      </c>
      <c r="D166">
        <v>11779</v>
      </c>
      <c r="E166">
        <v>3889</v>
      </c>
      <c r="F166" s="2">
        <v>0</v>
      </c>
      <c r="G166" t="s">
        <v>16</v>
      </c>
      <c r="H166" s="6"/>
      <c r="I166" s="7"/>
      <c r="J166" s="5" t="str">
        <f>IFERROR(12-(1-I166+VLOOKUP(H166,Справка!$A$2:$B$7,2,FALSE)/100)/0.055,"")</f>
        <v/>
      </c>
    </row>
    <row r="167" spans="1:10" x14ac:dyDescent="0.25">
      <c r="A167" t="s">
        <v>262</v>
      </c>
      <c r="B167">
        <v>-27124</v>
      </c>
      <c r="C167">
        <v>15156</v>
      </c>
      <c r="D167">
        <v>-7498</v>
      </c>
      <c r="E167">
        <v>-2005</v>
      </c>
      <c r="F167" s="2">
        <v>0</v>
      </c>
      <c r="G167" t="s">
        <v>108</v>
      </c>
      <c r="H167" s="6"/>
      <c r="I167" s="7"/>
      <c r="J167" s="5" t="str">
        <f>IFERROR(12-(1-I167+VLOOKUP(H167,Справка!$A$2:$B$7,2,FALSE)/100)/0.055,"")</f>
        <v/>
      </c>
    </row>
    <row r="168" spans="1:10" x14ac:dyDescent="0.25">
      <c r="A168" t="s">
        <v>213</v>
      </c>
      <c r="B168">
        <v>-47295</v>
      </c>
      <c r="C168">
        <v>26144</v>
      </c>
      <c r="D168">
        <v>-5024</v>
      </c>
      <c r="E168">
        <v>200</v>
      </c>
      <c r="F168" s="2">
        <v>0.01</v>
      </c>
      <c r="G168" t="s">
        <v>108</v>
      </c>
      <c r="H168" s="6"/>
      <c r="I168" s="7"/>
      <c r="J168" s="5" t="str">
        <f>IFERROR(12-(1-I168+VLOOKUP(H168,Справка!$A$2:$B$7,2,FALSE)/100)/0.055,"")</f>
        <v/>
      </c>
    </row>
    <row r="169" spans="1:10" x14ac:dyDescent="0.25">
      <c r="A169" t="s">
        <v>40</v>
      </c>
      <c r="B169">
        <v>36186</v>
      </c>
      <c r="C169">
        <v>-69267</v>
      </c>
      <c r="D169">
        <v>12831</v>
      </c>
      <c r="E169">
        <v>-513</v>
      </c>
      <c r="F169" s="2">
        <v>0.11</v>
      </c>
      <c r="G169" t="s">
        <v>11</v>
      </c>
      <c r="H169" s="6"/>
      <c r="I169" s="7"/>
      <c r="J169" s="5" t="str">
        <f>IFERROR(12-(1-I169+VLOOKUP(H169,Справка!$A$2:$B$7,2,FALSE)/100)/0.055,"")</f>
        <v/>
      </c>
    </row>
    <row r="170" spans="1:10" x14ac:dyDescent="0.25">
      <c r="A170" t="s">
        <v>259</v>
      </c>
      <c r="B170">
        <v>-140948</v>
      </c>
      <c r="C170">
        <v>-3609</v>
      </c>
      <c r="D170">
        <v>-7305</v>
      </c>
      <c r="E170">
        <v>-2351</v>
      </c>
      <c r="F170" s="2">
        <v>0</v>
      </c>
      <c r="G170" t="s">
        <v>89</v>
      </c>
      <c r="H170" s="6"/>
      <c r="I170" s="7"/>
      <c r="J170" s="5" t="str">
        <f>IFERROR(12-(1-I170+VLOOKUP(H170,Справка!$A$2:$B$7,2,FALSE)/100)/0.055,"")</f>
        <v/>
      </c>
    </row>
    <row r="171" spans="1:10" x14ac:dyDescent="0.25">
      <c r="A171" t="s">
        <v>244</v>
      </c>
      <c r="B171">
        <v>-153780</v>
      </c>
      <c r="C171">
        <v>58855</v>
      </c>
      <c r="D171">
        <v>-6577</v>
      </c>
      <c r="E171">
        <v>-1952</v>
      </c>
      <c r="F171" s="2">
        <v>0</v>
      </c>
      <c r="G171" t="s">
        <v>89</v>
      </c>
      <c r="H171" s="6"/>
      <c r="I171" s="7"/>
      <c r="J171" s="5" t="str">
        <f>IFERROR(12-(1-I171+VLOOKUP(H171,Справка!$A$2:$B$7,2,FALSE)/100)/0.055,"")</f>
        <v/>
      </c>
    </row>
    <row r="172" spans="1:10" x14ac:dyDescent="0.25">
      <c r="A172" t="s">
        <v>107</v>
      </c>
      <c r="B172">
        <v>-96798</v>
      </c>
      <c r="C172">
        <v>-5846</v>
      </c>
      <c r="D172">
        <v>1521</v>
      </c>
      <c r="E172">
        <v>3950</v>
      </c>
      <c r="F172" s="2">
        <v>0</v>
      </c>
      <c r="G172" t="s">
        <v>108</v>
      </c>
      <c r="H172" s="6"/>
      <c r="I172" s="7"/>
      <c r="J172" s="5" t="str">
        <f>IFERROR(12-(1-I172+VLOOKUP(H172,Справка!$A$2:$B$7,2,FALSE)/100)/0.055,"")</f>
        <v/>
      </c>
    </row>
    <row r="173" spans="1:10" x14ac:dyDescent="0.25">
      <c r="A173" t="s">
        <v>207</v>
      </c>
      <c r="B173">
        <v>-125628</v>
      </c>
      <c r="C173">
        <v>15532</v>
      </c>
      <c r="D173">
        <v>-4909</v>
      </c>
      <c r="E173">
        <v>-604</v>
      </c>
      <c r="F173" s="2">
        <v>0</v>
      </c>
      <c r="G173" t="s">
        <v>89</v>
      </c>
      <c r="H173" s="6"/>
      <c r="I173" s="7"/>
      <c r="J173" s="5" t="str">
        <f>IFERROR(12-(1-I173+VLOOKUP(H173,Справка!$A$2:$B$7,2,FALSE)/100)/0.055,"")</f>
        <v/>
      </c>
    </row>
    <row r="174" spans="1:10" x14ac:dyDescent="0.25">
      <c r="A174" t="s">
        <v>112</v>
      </c>
      <c r="B174">
        <v>-89950</v>
      </c>
      <c r="C174">
        <v>-36677</v>
      </c>
      <c r="D174">
        <v>1436</v>
      </c>
      <c r="E174">
        <v>1010</v>
      </c>
      <c r="F174" s="2">
        <v>0</v>
      </c>
      <c r="G174" t="s">
        <v>89</v>
      </c>
      <c r="H174" s="6"/>
      <c r="I174" s="7"/>
      <c r="J174" s="5" t="str">
        <f>IFERROR(12-(1-I174+VLOOKUP(H174,Справка!$A$2:$B$7,2,FALSE)/100)/0.055,"")</f>
        <v/>
      </c>
    </row>
    <row r="175" spans="1:10" x14ac:dyDescent="0.25">
      <c r="A175" t="s">
        <v>290</v>
      </c>
      <c r="B175">
        <v>-124954</v>
      </c>
      <c r="C175">
        <v>63580</v>
      </c>
      <c r="D175">
        <v>-8998</v>
      </c>
      <c r="E175">
        <v>-1552</v>
      </c>
      <c r="F175" s="2">
        <v>0</v>
      </c>
      <c r="G175" t="s">
        <v>89</v>
      </c>
      <c r="H175" s="6"/>
      <c r="I175" s="7"/>
      <c r="J175" s="5" t="str">
        <f>IFERROR(12-(1-I175+VLOOKUP(H175,Справка!$A$2:$B$7,2,FALSE)/100)/0.055,"")</f>
        <v/>
      </c>
    </row>
    <row r="176" spans="1:10" x14ac:dyDescent="0.25">
      <c r="A176" t="s">
        <v>281</v>
      </c>
      <c r="B176">
        <v>-67686</v>
      </c>
      <c r="C176">
        <v>36949</v>
      </c>
      <c r="D176">
        <v>-8311</v>
      </c>
      <c r="E176">
        <v>665</v>
      </c>
      <c r="F176" s="2">
        <v>0</v>
      </c>
      <c r="G176" t="s">
        <v>108</v>
      </c>
      <c r="H176" s="6"/>
      <c r="I176" s="7"/>
      <c r="J176" s="5" t="str">
        <f>IFERROR(12-(1-I176+VLOOKUP(H176,Справка!$A$2:$B$7,2,FALSE)/100)/0.055,"")</f>
        <v/>
      </c>
    </row>
    <row r="177" spans="1:10" x14ac:dyDescent="0.25">
      <c r="A177" t="s">
        <v>77</v>
      </c>
      <c r="B177">
        <v>153153</v>
      </c>
      <c r="C177">
        <v>-79512</v>
      </c>
      <c r="D177">
        <v>9391</v>
      </c>
      <c r="E177">
        <v>-1151</v>
      </c>
      <c r="F177" s="2">
        <v>0</v>
      </c>
      <c r="G177" t="s">
        <v>16</v>
      </c>
      <c r="H177" s="6"/>
      <c r="I177" s="7"/>
      <c r="J177" s="5" t="str">
        <f>IFERROR(12-(1-I177+VLOOKUP(H177,Справка!$A$2:$B$7,2,FALSE)/100)/0.055,"")</f>
        <v/>
      </c>
    </row>
    <row r="178" spans="1:10" x14ac:dyDescent="0.25">
      <c r="A178" t="s">
        <v>23</v>
      </c>
      <c r="B178">
        <v>84059</v>
      </c>
      <c r="C178">
        <v>-99526</v>
      </c>
      <c r="D178">
        <v>15454</v>
      </c>
      <c r="E178">
        <v>-3292</v>
      </c>
      <c r="F178" s="2">
        <v>0.11</v>
      </c>
      <c r="G178" t="s">
        <v>11</v>
      </c>
      <c r="H178" s="6"/>
      <c r="I178" s="7"/>
      <c r="J178" s="5" t="str">
        <f>IFERROR(12-(1-I178+VLOOKUP(H178,Справка!$A$2:$B$7,2,FALSE)/100)/0.055,"")</f>
        <v/>
      </c>
    </row>
    <row r="179" spans="1:10" x14ac:dyDescent="0.25">
      <c r="A179" t="s">
        <v>317</v>
      </c>
      <c r="B179">
        <v>-128561</v>
      </c>
      <c r="C179">
        <v>114961</v>
      </c>
      <c r="D179">
        <v>-10558</v>
      </c>
      <c r="E179">
        <v>271</v>
      </c>
      <c r="F179" s="2">
        <v>0.97</v>
      </c>
      <c r="G179" t="s">
        <v>11</v>
      </c>
      <c r="H179" s="6"/>
      <c r="I179" s="7"/>
      <c r="J179" s="5" t="str">
        <f>IFERROR(12-(1-I179+VLOOKUP(H179,Справка!$A$2:$B$7,2,FALSE)/100)/0.055,"")</f>
        <v/>
      </c>
    </row>
    <row r="180" spans="1:10" x14ac:dyDescent="0.25">
      <c r="A180" t="s">
        <v>243</v>
      </c>
      <c r="B180">
        <v>155934</v>
      </c>
      <c r="C180">
        <v>-2258</v>
      </c>
      <c r="D180">
        <v>-6574</v>
      </c>
      <c r="E180">
        <v>-2521</v>
      </c>
      <c r="F180" s="2">
        <v>0.02</v>
      </c>
      <c r="G180" t="s">
        <v>35</v>
      </c>
      <c r="H180" s="6"/>
      <c r="I180" s="7"/>
      <c r="J180" s="5" t="str">
        <f>IFERROR(12-(1-I180+VLOOKUP(H180,Справка!$A$2:$B$7,2,FALSE)/100)/0.055,"")</f>
        <v/>
      </c>
    </row>
    <row r="181" spans="1:10" x14ac:dyDescent="0.25">
      <c r="A181" t="s">
        <v>109</v>
      </c>
      <c r="B181">
        <v>-56672</v>
      </c>
      <c r="C181">
        <v>-54925</v>
      </c>
      <c r="D181">
        <v>1519</v>
      </c>
      <c r="E181">
        <v>1165</v>
      </c>
      <c r="F181" s="2">
        <v>0</v>
      </c>
      <c r="G181" t="s">
        <v>35</v>
      </c>
      <c r="H181" s="6"/>
      <c r="I181" s="7"/>
      <c r="J181" s="5" t="str">
        <f>IFERROR(12-(1-I181+VLOOKUP(H181,Справка!$A$2:$B$7,2,FALSE)/100)/0.055,"")</f>
        <v/>
      </c>
    </row>
    <row r="182" spans="1:10" x14ac:dyDescent="0.25">
      <c r="A182" t="s">
        <v>311</v>
      </c>
      <c r="B182">
        <v>143525</v>
      </c>
      <c r="C182">
        <v>-9971</v>
      </c>
      <c r="D182">
        <v>-10178</v>
      </c>
      <c r="E182">
        <v>-1228</v>
      </c>
      <c r="F182" s="2">
        <v>0</v>
      </c>
      <c r="G182" t="s">
        <v>271</v>
      </c>
      <c r="H182" s="3" t="s">
        <v>47</v>
      </c>
      <c r="I182" s="4">
        <v>1.5</v>
      </c>
      <c r="J182" s="5">
        <f>IFERROR(12-(1-I182+VLOOKUP(H182,Справка!$A$2:$B$7,2,FALSE)/100)/0.055,"")</f>
        <v>21.090909090909093</v>
      </c>
    </row>
    <row r="183" spans="1:10" x14ac:dyDescent="0.25">
      <c r="A183" t="s">
        <v>147</v>
      </c>
      <c r="B183">
        <v>76031</v>
      </c>
      <c r="C183">
        <v>62788</v>
      </c>
      <c r="D183">
        <v>-807</v>
      </c>
      <c r="E183">
        <v>1779</v>
      </c>
      <c r="F183" s="2">
        <v>0.95</v>
      </c>
      <c r="G183" t="s">
        <v>26</v>
      </c>
      <c r="H183" s="6"/>
      <c r="I183" s="7"/>
      <c r="J183" s="5" t="str">
        <f>IFERROR(12-(1-I183+VLOOKUP(H183,Справка!$A$2:$B$7,2,FALSE)/100)/0.055,"")</f>
        <v/>
      </c>
    </row>
    <row r="184" spans="1:10" x14ac:dyDescent="0.25">
      <c r="A184" t="s">
        <v>210</v>
      </c>
      <c r="B184">
        <v>-168905</v>
      </c>
      <c r="C184">
        <v>59403</v>
      </c>
      <c r="D184">
        <v>-4978</v>
      </c>
      <c r="E184">
        <v>-2333</v>
      </c>
      <c r="F184" s="2">
        <v>0.2</v>
      </c>
      <c r="G184" t="s">
        <v>89</v>
      </c>
      <c r="H184" s="6"/>
      <c r="I184" s="7"/>
      <c r="J184" s="5" t="str">
        <f>IFERROR(12-(1-I184+VLOOKUP(H184,Справка!$A$2:$B$7,2,FALSE)/100)/0.055,"")</f>
        <v/>
      </c>
    </row>
    <row r="185" spans="1:10" x14ac:dyDescent="0.25">
      <c r="A185" t="s">
        <v>285</v>
      </c>
      <c r="B185">
        <v>83829</v>
      </c>
      <c r="C185">
        <v>42748</v>
      </c>
      <c r="D185">
        <v>-8720</v>
      </c>
      <c r="E185">
        <v>-2937</v>
      </c>
      <c r="F185" s="2">
        <v>1</v>
      </c>
      <c r="G185" t="s">
        <v>26</v>
      </c>
      <c r="H185" s="6"/>
      <c r="I185" s="7"/>
      <c r="J185" s="5" t="str">
        <f>IFERROR(12-(1-I185+VLOOKUP(H185,Справка!$A$2:$B$7,2,FALSE)/100)/0.055,"")</f>
        <v/>
      </c>
    </row>
    <row r="186" spans="1:10" x14ac:dyDescent="0.25">
      <c r="A186" t="s">
        <v>233</v>
      </c>
      <c r="B186">
        <v>-97494</v>
      </c>
      <c r="C186">
        <v>107386</v>
      </c>
      <c r="D186">
        <v>-5944</v>
      </c>
      <c r="E186">
        <v>1684</v>
      </c>
      <c r="F186" s="2">
        <v>0.83</v>
      </c>
      <c r="G186" t="s">
        <v>11</v>
      </c>
      <c r="H186" s="6"/>
      <c r="I186" s="7"/>
      <c r="J186" s="5" t="str">
        <f>IFERROR(12-(1-I186+VLOOKUP(H186,Справка!$A$2:$B$7,2,FALSE)/100)/0.055,"")</f>
        <v/>
      </c>
    </row>
    <row r="187" spans="1:10" x14ac:dyDescent="0.25">
      <c r="A187" t="s">
        <v>278</v>
      </c>
      <c r="B187">
        <v>103646</v>
      </c>
      <c r="C187">
        <v>20255</v>
      </c>
      <c r="D187">
        <v>-8194</v>
      </c>
      <c r="E187">
        <v>4</v>
      </c>
      <c r="F187" s="2">
        <v>0.95</v>
      </c>
      <c r="G187" t="s">
        <v>26</v>
      </c>
      <c r="H187" s="6"/>
      <c r="I187" s="7"/>
      <c r="J187" s="5" t="str">
        <f>IFERROR(12-(1-I187+VLOOKUP(H187,Справка!$A$2:$B$7,2,FALSE)/100)/0.055,"")</f>
        <v/>
      </c>
    </row>
    <row r="188" spans="1:10" x14ac:dyDescent="0.25">
      <c r="A188" t="s">
        <v>74</v>
      </c>
      <c r="B188">
        <v>193225</v>
      </c>
      <c r="C188">
        <v>-84050</v>
      </c>
      <c r="D188">
        <v>9711</v>
      </c>
      <c r="E188">
        <v>-3243</v>
      </c>
      <c r="F188" s="2">
        <v>0.03</v>
      </c>
      <c r="G188" t="s">
        <v>16</v>
      </c>
      <c r="H188" s="6"/>
      <c r="I188" s="7"/>
      <c r="J188" s="5" t="str">
        <f>IFERROR(12-(1-I188+VLOOKUP(H188,Справка!$A$2:$B$7,2,FALSE)/100)/0.055,"")</f>
        <v/>
      </c>
    </row>
    <row r="189" spans="1:10" x14ac:dyDescent="0.25">
      <c r="A189" t="s">
        <v>263</v>
      </c>
      <c r="B189">
        <v>-127416</v>
      </c>
      <c r="C189">
        <v>101410</v>
      </c>
      <c r="D189">
        <v>-7583</v>
      </c>
      <c r="E189">
        <v>-246</v>
      </c>
      <c r="F189" s="2">
        <v>0.66</v>
      </c>
      <c r="G189" t="s">
        <v>11</v>
      </c>
      <c r="H189" s="6"/>
      <c r="I189" s="7"/>
      <c r="J189" s="5" t="str">
        <f>IFERROR(12-(1-I189+VLOOKUP(H189,Справка!$A$2:$B$7,2,FALSE)/100)/0.055,"")</f>
        <v/>
      </c>
    </row>
    <row r="190" spans="1:10" x14ac:dyDescent="0.25">
      <c r="A190" t="s">
        <v>347</v>
      </c>
      <c r="B190">
        <v>-75329</v>
      </c>
      <c r="C190">
        <v>124195</v>
      </c>
      <c r="D190">
        <v>-12728</v>
      </c>
      <c r="E190">
        <v>-3594</v>
      </c>
      <c r="F190" s="2">
        <v>0.59</v>
      </c>
      <c r="G190" t="s">
        <v>11</v>
      </c>
      <c r="H190" s="3" t="s">
        <v>14</v>
      </c>
      <c r="I190" s="4">
        <v>0.75</v>
      </c>
      <c r="J190" s="5">
        <f>IFERROR(12-(1-I190+VLOOKUP(H190,Справка!$A$2:$B$7,2,FALSE)/100)/0.055,"")</f>
        <v>-10.650909090909092</v>
      </c>
    </row>
    <row r="191" spans="1:10" x14ac:dyDescent="0.25">
      <c r="A191" t="s">
        <v>171</v>
      </c>
      <c r="B191">
        <v>174742</v>
      </c>
      <c r="C191">
        <v>-24828</v>
      </c>
      <c r="D191">
        <v>-3427</v>
      </c>
      <c r="E191">
        <v>-4693</v>
      </c>
      <c r="F191" s="2">
        <v>0.27</v>
      </c>
      <c r="G191" t="s">
        <v>26</v>
      </c>
      <c r="H191" s="6"/>
      <c r="I191" s="7"/>
      <c r="J191" s="5" t="str">
        <f>IFERROR(12-(1-I191+VLOOKUP(H191,Справка!$A$2:$B$7,2,FALSE)/100)/0.055,"")</f>
        <v/>
      </c>
    </row>
    <row r="192" spans="1:10" x14ac:dyDescent="0.25">
      <c r="A192" t="s">
        <v>155</v>
      </c>
      <c r="B192">
        <v>167054</v>
      </c>
      <c r="C192">
        <v>-34010</v>
      </c>
      <c r="D192">
        <v>-1815</v>
      </c>
      <c r="E192">
        <v>-1654</v>
      </c>
      <c r="F192" s="2">
        <v>0</v>
      </c>
      <c r="G192" t="s">
        <v>35</v>
      </c>
      <c r="H192" s="6"/>
      <c r="I192" s="7"/>
      <c r="J192" s="5" t="str">
        <f>IFERROR(12-(1-I192+VLOOKUP(H192,Справка!$A$2:$B$7,2,FALSE)/100)/0.055,"")</f>
        <v/>
      </c>
    </row>
    <row r="193" spans="1:10" x14ac:dyDescent="0.25">
      <c r="A193" t="s">
        <v>339</v>
      </c>
      <c r="B193">
        <v>119818</v>
      </c>
      <c r="C193">
        <v>-5294</v>
      </c>
      <c r="D193">
        <v>-12271</v>
      </c>
      <c r="E193">
        <v>-1332</v>
      </c>
      <c r="F193" s="2">
        <v>0</v>
      </c>
      <c r="G193" t="s">
        <v>271</v>
      </c>
      <c r="H193" s="6"/>
      <c r="I193" s="7"/>
      <c r="J193" s="5" t="str">
        <f>IFERROR(12-(1-I193+VLOOKUP(H193,Справка!$A$2:$B$7,2,FALSE)/100)/0.055,"")</f>
        <v/>
      </c>
    </row>
    <row r="194" spans="1:10" x14ac:dyDescent="0.25">
      <c r="A194" t="s">
        <v>260</v>
      </c>
      <c r="B194">
        <v>-116902</v>
      </c>
      <c r="C194">
        <v>92399</v>
      </c>
      <c r="D194">
        <v>-7318</v>
      </c>
      <c r="E194">
        <v>130</v>
      </c>
      <c r="F194" s="2">
        <v>0.23</v>
      </c>
      <c r="G194" t="s">
        <v>108</v>
      </c>
      <c r="H194" s="6"/>
      <c r="I194" s="7"/>
      <c r="J194" s="5" t="str">
        <f>IFERROR(12-(1-I194+VLOOKUP(H194,Справка!$A$2:$B$7,2,FALSE)/100)/0.055,"")</f>
        <v/>
      </c>
    </row>
    <row r="195" spans="1:10" x14ac:dyDescent="0.25">
      <c r="A195" t="s">
        <v>235</v>
      </c>
      <c r="B195">
        <v>128704</v>
      </c>
      <c r="C195">
        <v>64121</v>
      </c>
      <c r="D195">
        <v>-6075</v>
      </c>
      <c r="E195">
        <v>-394</v>
      </c>
      <c r="F195" s="2">
        <v>0.98</v>
      </c>
      <c r="G195" t="s">
        <v>26</v>
      </c>
      <c r="H195" s="6"/>
      <c r="I195" s="7"/>
      <c r="J195" s="5" t="str">
        <f>IFERROR(12-(1-I195+VLOOKUP(H195,Справка!$A$2:$B$7,2,FALSE)/100)/0.055,"")</f>
        <v/>
      </c>
    </row>
    <row r="196" spans="1:10" x14ac:dyDescent="0.25">
      <c r="A196" t="s">
        <v>172</v>
      </c>
      <c r="B196">
        <v>47536</v>
      </c>
      <c r="C196">
        <v>10425</v>
      </c>
      <c r="D196">
        <v>-3561</v>
      </c>
      <c r="E196">
        <v>568</v>
      </c>
      <c r="F196" s="2">
        <v>0.17</v>
      </c>
      <c r="G196" t="s">
        <v>108</v>
      </c>
      <c r="H196" s="6"/>
      <c r="I196" s="7"/>
      <c r="J196" s="5" t="str">
        <f>IFERROR(12-(1-I196+VLOOKUP(H196,Справка!$A$2:$B$7,2,FALSE)/100)/0.055,"")</f>
        <v/>
      </c>
    </row>
    <row r="197" spans="1:10" x14ac:dyDescent="0.25">
      <c r="A197" t="s">
        <v>273</v>
      </c>
      <c r="B197">
        <v>-141785</v>
      </c>
      <c r="C197">
        <v>23525</v>
      </c>
      <c r="D197">
        <v>-8082</v>
      </c>
      <c r="E197">
        <v>-3358</v>
      </c>
      <c r="F197" s="2">
        <v>0</v>
      </c>
      <c r="G197" t="s">
        <v>89</v>
      </c>
      <c r="H197" s="6"/>
      <c r="I197" s="7"/>
      <c r="J197" s="5" t="str">
        <f>IFERROR(12-(1-I197+VLOOKUP(H197,Справка!$A$2:$B$7,2,FALSE)/100)/0.055,"")</f>
        <v/>
      </c>
    </row>
    <row r="198" spans="1:10" x14ac:dyDescent="0.25">
      <c r="A198" t="s">
        <v>230</v>
      </c>
      <c r="B198">
        <v>-50832</v>
      </c>
      <c r="C198">
        <v>-14939</v>
      </c>
      <c r="D198">
        <v>-5789</v>
      </c>
      <c r="E198">
        <v>-635</v>
      </c>
      <c r="F198" s="2">
        <v>0</v>
      </c>
      <c r="G198" t="s">
        <v>108</v>
      </c>
      <c r="H198" s="6"/>
      <c r="I198" s="7"/>
      <c r="J198" s="5" t="str">
        <f>IFERROR(12-(1-I198+VLOOKUP(H198,Справка!$A$2:$B$7,2,FALSE)/100)/0.055,"")</f>
        <v/>
      </c>
    </row>
    <row r="199" spans="1:10" x14ac:dyDescent="0.25">
      <c r="A199" t="s">
        <v>73</v>
      </c>
      <c r="B199">
        <v>75298</v>
      </c>
      <c r="C199">
        <v>-54369</v>
      </c>
      <c r="D199">
        <v>10309</v>
      </c>
      <c r="E199">
        <v>-4024</v>
      </c>
      <c r="F199" s="2">
        <v>0.16</v>
      </c>
      <c r="G199" t="s">
        <v>16</v>
      </c>
      <c r="H199" s="6"/>
      <c r="I199" s="7"/>
      <c r="J199" s="5" t="str">
        <f>IFERROR(12-(1-I199+VLOOKUP(H199,Справка!$A$2:$B$7,2,FALSE)/100)/0.055,"")</f>
        <v/>
      </c>
    </row>
    <row r="200" spans="1:10" x14ac:dyDescent="0.25">
      <c r="A200" t="s">
        <v>96</v>
      </c>
      <c r="B200">
        <v>179729</v>
      </c>
      <c r="C200">
        <v>-47142</v>
      </c>
      <c r="D200">
        <v>2832</v>
      </c>
      <c r="E200">
        <v>-4018</v>
      </c>
      <c r="F200" s="2">
        <v>0.43</v>
      </c>
      <c r="G200" t="s">
        <v>26</v>
      </c>
      <c r="H200" s="6"/>
      <c r="I200" s="7"/>
      <c r="J200" s="5" t="str">
        <f>IFERROR(12-(1-I200+VLOOKUP(H200,Справка!$A$2:$B$7,2,FALSE)/100)/0.055,"")</f>
        <v/>
      </c>
    </row>
    <row r="201" spans="1:10" x14ac:dyDescent="0.25">
      <c r="A201" t="s">
        <v>27</v>
      </c>
      <c r="B201">
        <v>54740</v>
      </c>
      <c r="C201">
        <v>-81396</v>
      </c>
      <c r="D201">
        <v>15362</v>
      </c>
      <c r="E201">
        <v>-1686</v>
      </c>
      <c r="F201" s="2">
        <v>0.91</v>
      </c>
      <c r="G201" t="s">
        <v>11</v>
      </c>
      <c r="H201" s="6"/>
      <c r="I201" s="7"/>
      <c r="J201" s="5" t="str">
        <f>IFERROR(12-(1-I201+VLOOKUP(H201,Справка!$A$2:$B$7,2,FALSE)/100)/0.055,"")</f>
        <v/>
      </c>
    </row>
    <row r="202" spans="1:10" x14ac:dyDescent="0.25">
      <c r="A202" t="s">
        <v>335</v>
      </c>
      <c r="B202">
        <v>68591</v>
      </c>
      <c r="C202">
        <v>96020</v>
      </c>
      <c r="D202">
        <v>-12168</v>
      </c>
      <c r="E202">
        <v>-2043</v>
      </c>
      <c r="F202" s="2">
        <v>1</v>
      </c>
      <c r="G202" t="s">
        <v>26</v>
      </c>
      <c r="H202" s="6"/>
      <c r="I202" s="7"/>
      <c r="J202" s="5" t="str">
        <f>IFERROR(12-(1-I202+VLOOKUP(H202,Справка!$A$2:$B$7,2,FALSE)/100)/0.055,"")</f>
        <v/>
      </c>
    </row>
    <row r="203" spans="1:10" x14ac:dyDescent="0.25">
      <c r="A203" t="s">
        <v>367</v>
      </c>
      <c r="B203">
        <v>145834</v>
      </c>
      <c r="C203">
        <v>90932</v>
      </c>
      <c r="D203">
        <v>-13677</v>
      </c>
      <c r="E203">
        <v>-223</v>
      </c>
      <c r="F203" s="2">
        <v>1</v>
      </c>
      <c r="G203" t="s">
        <v>316</v>
      </c>
      <c r="H203" s="3" t="s">
        <v>14</v>
      </c>
      <c r="I203" s="4">
        <v>0.75</v>
      </c>
      <c r="J203" s="5">
        <f>IFERROR(12-(1-I203+VLOOKUP(H203,Справка!$A$2:$B$7,2,FALSE)/100)/0.055,"")</f>
        <v>-10.650909090909092</v>
      </c>
    </row>
    <row r="204" spans="1:10" x14ac:dyDescent="0.25">
      <c r="A204" t="s">
        <v>99</v>
      </c>
      <c r="B204">
        <v>-41375</v>
      </c>
      <c r="C204">
        <v>35964</v>
      </c>
      <c r="D204">
        <v>2472</v>
      </c>
      <c r="E204">
        <v>8086</v>
      </c>
      <c r="F204" s="2">
        <v>0.85</v>
      </c>
      <c r="G204" t="s">
        <v>26</v>
      </c>
      <c r="H204" s="6"/>
      <c r="I204" s="7"/>
      <c r="J204" s="5" t="str">
        <f>IFERROR(12-(1-I204+VLOOKUP(H204,Справка!$A$2:$B$7,2,FALSE)/100)/0.055,"")</f>
        <v/>
      </c>
    </row>
    <row r="205" spans="1:10" x14ac:dyDescent="0.25">
      <c r="A205" t="s">
        <v>141</v>
      </c>
      <c r="B205">
        <v>-91689</v>
      </c>
      <c r="C205">
        <v>-35972</v>
      </c>
      <c r="D205">
        <v>-231</v>
      </c>
      <c r="E205">
        <v>-847</v>
      </c>
      <c r="F205" s="2">
        <v>0</v>
      </c>
      <c r="G205" t="s">
        <v>89</v>
      </c>
      <c r="H205" s="6"/>
      <c r="I205" s="7"/>
      <c r="J205" s="5" t="str">
        <f>IFERROR(12-(1-I205+VLOOKUP(H205,Справка!$A$2:$B$7,2,FALSE)/100)/0.055,"")</f>
        <v/>
      </c>
    </row>
    <row r="206" spans="1:10" x14ac:dyDescent="0.25">
      <c r="A206" t="s">
        <v>398</v>
      </c>
      <c r="B206">
        <v>83391</v>
      </c>
      <c r="C206">
        <v>117696</v>
      </c>
      <c r="D206">
        <v>-17630</v>
      </c>
      <c r="E206">
        <v>-3114</v>
      </c>
      <c r="F206" s="2">
        <v>1</v>
      </c>
      <c r="G206" t="s">
        <v>316</v>
      </c>
      <c r="H206" s="6"/>
      <c r="I206" s="7"/>
      <c r="J206" s="5" t="str">
        <f>IFERROR(12-(1-I206+VLOOKUP(H206,Справка!$A$2:$B$7,2,FALSE)/100)/0.055,"")</f>
        <v/>
      </c>
    </row>
    <row r="207" spans="1:10" x14ac:dyDescent="0.25">
      <c r="A207" t="s">
        <v>123</v>
      </c>
      <c r="B207">
        <v>-42817</v>
      </c>
      <c r="C207">
        <v>-58192</v>
      </c>
      <c r="D207">
        <v>652</v>
      </c>
      <c r="E207">
        <v>328</v>
      </c>
      <c r="F207" s="2">
        <v>0</v>
      </c>
      <c r="G207" t="s">
        <v>35</v>
      </c>
      <c r="H207" s="6"/>
      <c r="I207" s="7"/>
      <c r="J207" s="5" t="str">
        <f>IFERROR(12-(1-I207+VLOOKUP(H207,Справка!$A$2:$B$7,2,FALSE)/100)/0.055,"")</f>
        <v/>
      </c>
    </row>
    <row r="208" spans="1:10" x14ac:dyDescent="0.25">
      <c r="A208" t="s">
        <v>76</v>
      </c>
      <c r="B208">
        <v>-13273</v>
      </c>
      <c r="C208">
        <v>-95941</v>
      </c>
      <c r="D208">
        <v>9480</v>
      </c>
      <c r="E208">
        <v>727</v>
      </c>
      <c r="F208" s="2">
        <v>0.87</v>
      </c>
      <c r="G208" t="s">
        <v>11</v>
      </c>
      <c r="H208" s="6"/>
      <c r="I208" s="7"/>
      <c r="J208" s="5" t="str">
        <f>IFERROR(12-(1-I208+VLOOKUP(H208,Справка!$A$2:$B$7,2,FALSE)/100)/0.055,"")</f>
        <v/>
      </c>
    </row>
    <row r="209" spans="1:10" x14ac:dyDescent="0.25">
      <c r="A209" t="s">
        <v>66</v>
      </c>
      <c r="B209">
        <v>155666</v>
      </c>
      <c r="C209">
        <v>-97517</v>
      </c>
      <c r="D209">
        <v>10840</v>
      </c>
      <c r="E209">
        <v>-86</v>
      </c>
      <c r="F209" s="2">
        <v>0</v>
      </c>
      <c r="G209" t="s">
        <v>16</v>
      </c>
      <c r="H209" s="6"/>
      <c r="I209" s="7"/>
      <c r="J209" s="5" t="str">
        <f>IFERROR(12-(1-I209+VLOOKUP(H209,Справка!$A$2:$B$7,2,FALSE)/100)/0.055,"")</f>
        <v/>
      </c>
    </row>
    <row r="210" spans="1:10" x14ac:dyDescent="0.25">
      <c r="A210" t="s">
        <v>101</v>
      </c>
      <c r="B210">
        <v>-9652</v>
      </c>
      <c r="C210">
        <v>-69337</v>
      </c>
      <c r="D210">
        <v>2285</v>
      </c>
      <c r="E210">
        <v>419</v>
      </c>
      <c r="F210" s="2">
        <v>0.03</v>
      </c>
      <c r="G210" t="s">
        <v>35</v>
      </c>
      <c r="H210" s="6"/>
      <c r="I210" s="7"/>
      <c r="J210" s="5" t="str">
        <f>IFERROR(12-(1-I210+VLOOKUP(H210,Справка!$A$2:$B$7,2,FALSE)/100)/0.055,"")</f>
        <v/>
      </c>
    </row>
    <row r="211" spans="1:10" x14ac:dyDescent="0.25">
      <c r="A211" t="s">
        <v>358</v>
      </c>
      <c r="B211">
        <v>-23659</v>
      </c>
      <c r="C211">
        <v>99712</v>
      </c>
      <c r="D211">
        <v>-13439</v>
      </c>
      <c r="E211">
        <v>-216</v>
      </c>
      <c r="F211" s="2">
        <v>1</v>
      </c>
      <c r="G211" t="s">
        <v>354</v>
      </c>
      <c r="H211" s="6"/>
      <c r="I211" s="7"/>
      <c r="J211" s="5" t="str">
        <f>IFERROR(12-(1-I211+VLOOKUP(H211,Справка!$A$2:$B$7,2,FALSE)/100)/0.055,"")</f>
        <v/>
      </c>
    </row>
    <row r="212" spans="1:10" x14ac:dyDescent="0.25">
      <c r="A212" t="s">
        <v>25</v>
      </c>
      <c r="B212">
        <v>195470</v>
      </c>
      <c r="C212">
        <v>-74127</v>
      </c>
      <c r="D212">
        <v>15405</v>
      </c>
      <c r="E212">
        <v>2033</v>
      </c>
      <c r="F212" s="2">
        <v>0.79</v>
      </c>
      <c r="G212" t="s">
        <v>26</v>
      </c>
      <c r="H212" s="6"/>
      <c r="I212" s="7"/>
      <c r="J212" s="5" t="str">
        <f>IFERROR(12-(1-I212+VLOOKUP(H212,Справка!$A$2:$B$7,2,FALSE)/100)/0.055,"")</f>
        <v/>
      </c>
    </row>
    <row r="213" spans="1:10" x14ac:dyDescent="0.25">
      <c r="A213" t="s">
        <v>314</v>
      </c>
      <c r="B213">
        <v>162680</v>
      </c>
      <c r="C213">
        <v>37574</v>
      </c>
      <c r="D213">
        <v>-10427</v>
      </c>
      <c r="E213">
        <v>-609</v>
      </c>
      <c r="F213" s="2">
        <v>1</v>
      </c>
      <c r="G213" t="s">
        <v>26</v>
      </c>
      <c r="H213" s="6"/>
      <c r="I213" s="7"/>
      <c r="J213" s="5" t="str">
        <f>IFERROR(12-(1-I213+VLOOKUP(H213,Справка!$A$2:$B$7,2,FALSE)/100)/0.055,"")</f>
        <v/>
      </c>
    </row>
    <row r="214" spans="1:10" x14ac:dyDescent="0.25">
      <c r="A214" t="s">
        <v>396</v>
      </c>
      <c r="B214">
        <v>115341</v>
      </c>
      <c r="C214">
        <v>141084</v>
      </c>
      <c r="D214">
        <v>-16351</v>
      </c>
      <c r="E214">
        <v>-1609</v>
      </c>
      <c r="F214" s="2">
        <v>1</v>
      </c>
      <c r="G214" t="s">
        <v>316</v>
      </c>
      <c r="H214" s="6" t="s">
        <v>435</v>
      </c>
      <c r="I214" s="7">
        <v>0.75</v>
      </c>
      <c r="J214" s="5">
        <f>IFERROR(12-(1-I214+VLOOKUP(H214,Справка!$A$2:$B$7,2,FALSE)/100)/0.055,"")</f>
        <v>-14.369090909090907</v>
      </c>
    </row>
    <row r="215" spans="1:10" x14ac:dyDescent="0.25">
      <c r="A215" t="s">
        <v>256</v>
      </c>
      <c r="B215">
        <v>-12525</v>
      </c>
      <c r="C215">
        <v>46845</v>
      </c>
      <c r="D215">
        <v>-7192</v>
      </c>
      <c r="E215">
        <v>-1476</v>
      </c>
      <c r="F215" s="2">
        <v>0.75</v>
      </c>
      <c r="G215" t="s">
        <v>257</v>
      </c>
      <c r="H215" s="6"/>
      <c r="I215" s="7"/>
      <c r="J215" s="5" t="str">
        <f>IFERROR(12-(1-I215+VLOOKUP(H215,Справка!$A$2:$B$7,2,FALSE)/100)/0.055,"")</f>
        <v/>
      </c>
    </row>
    <row r="216" spans="1:10" x14ac:dyDescent="0.25">
      <c r="A216" t="s">
        <v>181</v>
      </c>
      <c r="B216">
        <v>-3030</v>
      </c>
      <c r="C216">
        <v>-28057</v>
      </c>
      <c r="D216">
        <v>-4029</v>
      </c>
      <c r="E216">
        <v>-2808</v>
      </c>
      <c r="F216" s="2">
        <v>0.47</v>
      </c>
      <c r="G216" t="s">
        <v>108</v>
      </c>
      <c r="H216" s="6"/>
      <c r="I216" s="7"/>
      <c r="J216" s="5" t="str">
        <f>IFERROR(12-(1-I216+VLOOKUP(H216,Справка!$A$2:$B$7,2,FALSE)/100)/0.055,"")</f>
        <v/>
      </c>
    </row>
    <row r="217" spans="1:10" x14ac:dyDescent="0.25">
      <c r="A217" t="s">
        <v>165</v>
      </c>
      <c r="B217">
        <v>-161882</v>
      </c>
      <c r="C217">
        <v>35446</v>
      </c>
      <c r="D217">
        <v>-2933</v>
      </c>
      <c r="E217">
        <v>-1710</v>
      </c>
      <c r="F217" s="2">
        <v>0</v>
      </c>
      <c r="G217" t="s">
        <v>89</v>
      </c>
      <c r="H217" s="6"/>
      <c r="I217" s="7"/>
      <c r="J217" s="5" t="str">
        <f>IFERROR(12-(1-I217+VLOOKUP(H217,Справка!$A$2:$B$7,2,FALSE)/100)/0.055,"")</f>
        <v/>
      </c>
    </row>
    <row r="218" spans="1:10" x14ac:dyDescent="0.25">
      <c r="A218" t="s">
        <v>282</v>
      </c>
      <c r="B218">
        <v>-119234</v>
      </c>
      <c r="C218">
        <v>50268</v>
      </c>
      <c r="D218">
        <v>-8312</v>
      </c>
      <c r="E218">
        <v>-1437</v>
      </c>
      <c r="F218" s="2">
        <v>0</v>
      </c>
      <c r="G218" t="s">
        <v>89</v>
      </c>
      <c r="H218" s="6"/>
      <c r="I218" s="7"/>
      <c r="J218" s="5" t="str">
        <f>IFERROR(12-(1-I218+VLOOKUP(H218,Справка!$A$2:$B$7,2,FALSE)/100)/0.055,"")</f>
        <v/>
      </c>
    </row>
    <row r="219" spans="1:10" x14ac:dyDescent="0.25">
      <c r="A219" t="s">
        <v>301</v>
      </c>
      <c r="B219">
        <v>170415</v>
      </c>
      <c r="C219">
        <v>37536</v>
      </c>
      <c r="D219">
        <v>-9544</v>
      </c>
      <c r="E219">
        <v>-842</v>
      </c>
      <c r="F219" s="2">
        <v>1</v>
      </c>
      <c r="G219" t="s">
        <v>26</v>
      </c>
      <c r="H219" s="6"/>
      <c r="I219" s="7"/>
      <c r="J219" s="5" t="str">
        <f>IFERROR(12-(1-I219+VLOOKUP(H219,Справка!$A$2:$B$7,2,FALSE)/100)/0.055,"")</f>
        <v/>
      </c>
    </row>
    <row r="220" spans="1:10" x14ac:dyDescent="0.25">
      <c r="A220" t="s">
        <v>248</v>
      </c>
      <c r="B220">
        <v>-18760</v>
      </c>
      <c r="C220">
        <v>21080</v>
      </c>
      <c r="D220">
        <v>-6872</v>
      </c>
      <c r="E220">
        <v>-2216</v>
      </c>
      <c r="F220" s="2">
        <v>0</v>
      </c>
      <c r="G220" t="s">
        <v>108</v>
      </c>
      <c r="H220" s="6"/>
      <c r="I220" s="7"/>
      <c r="J220" s="5" t="str">
        <f>IFERROR(12-(1-I220+VLOOKUP(H220,Справка!$A$2:$B$7,2,FALSE)/100)/0.055,"")</f>
        <v/>
      </c>
    </row>
    <row r="221" spans="1:10" x14ac:dyDescent="0.25">
      <c r="A221" t="s">
        <v>389</v>
      </c>
      <c r="B221">
        <v>-51840</v>
      </c>
      <c r="C221">
        <v>122304</v>
      </c>
      <c r="D221">
        <v>-14316</v>
      </c>
      <c r="E221">
        <v>-2120</v>
      </c>
      <c r="F221" s="2">
        <v>0</v>
      </c>
      <c r="G221" t="s">
        <v>362</v>
      </c>
      <c r="H221" s="6"/>
      <c r="I221" s="7"/>
      <c r="J221" s="5" t="str">
        <f>IFERROR(12-(1-I221+VLOOKUP(H221,Справка!$A$2:$B$7,2,FALSE)/100)/0.055,"")</f>
        <v/>
      </c>
    </row>
    <row r="222" spans="1:10" x14ac:dyDescent="0.25">
      <c r="A222" t="s">
        <v>170</v>
      </c>
      <c r="B222">
        <v>-43393</v>
      </c>
      <c r="C222">
        <v>-78762</v>
      </c>
      <c r="D222">
        <v>-3328</v>
      </c>
      <c r="E222">
        <v>-2428</v>
      </c>
      <c r="F222" s="2">
        <v>0</v>
      </c>
      <c r="G222" t="s">
        <v>35</v>
      </c>
      <c r="H222" s="3" t="s">
        <v>47</v>
      </c>
      <c r="I222" s="4">
        <v>1.1499999999999999</v>
      </c>
      <c r="J222" s="5">
        <f>IFERROR(12-(1-I222+VLOOKUP(H222,Справка!$A$2:$B$7,2,FALSE)/100)/0.055,"")</f>
        <v>14.727272727272727</v>
      </c>
    </row>
    <row r="223" spans="1:10" x14ac:dyDescent="0.25">
      <c r="A223" t="s">
        <v>157</v>
      </c>
      <c r="B223">
        <v>41828</v>
      </c>
      <c r="C223">
        <v>-14683</v>
      </c>
      <c r="D223">
        <v>-1854</v>
      </c>
      <c r="E223">
        <v>-1923</v>
      </c>
      <c r="F223" s="2">
        <v>0.12</v>
      </c>
      <c r="G223" t="s">
        <v>108</v>
      </c>
      <c r="H223" s="6"/>
      <c r="I223" s="7"/>
      <c r="J223" s="5" t="str">
        <f>IFERROR(12-(1-I223+VLOOKUP(H223,Справка!$A$2:$B$7,2,FALSE)/100)/0.055,"")</f>
        <v/>
      </c>
    </row>
    <row r="224" spans="1:10" x14ac:dyDescent="0.25">
      <c r="A224" t="s">
        <v>240</v>
      </c>
      <c r="B224">
        <v>-113431</v>
      </c>
      <c r="C224">
        <v>50797</v>
      </c>
      <c r="D224">
        <v>-6280</v>
      </c>
      <c r="E224">
        <v>1287</v>
      </c>
      <c r="F224" s="2">
        <v>0</v>
      </c>
      <c r="G224" t="s">
        <v>89</v>
      </c>
      <c r="H224" s="6"/>
      <c r="I224" s="7"/>
      <c r="J224" s="5" t="str">
        <f>IFERROR(12-(1-I224+VLOOKUP(H224,Справка!$A$2:$B$7,2,FALSE)/100)/0.055,"")</f>
        <v/>
      </c>
    </row>
    <row r="225" spans="1:10" x14ac:dyDescent="0.25">
      <c r="A225" t="s">
        <v>382</v>
      </c>
      <c r="B225">
        <v>-151118</v>
      </c>
      <c r="C225">
        <v>122294</v>
      </c>
      <c r="D225">
        <v>-14071</v>
      </c>
      <c r="E225">
        <v>-819</v>
      </c>
      <c r="F225" s="2">
        <v>0.01</v>
      </c>
      <c r="G225" t="s">
        <v>316</v>
      </c>
      <c r="H225" s="6"/>
      <c r="I225" s="7"/>
      <c r="J225" s="5" t="str">
        <f>IFERROR(12-(1-I225+VLOOKUP(H225,Справка!$A$2:$B$7,2,FALSE)/100)/0.055,"")</f>
        <v/>
      </c>
    </row>
    <row r="226" spans="1:10" x14ac:dyDescent="0.25">
      <c r="A226" t="s">
        <v>307</v>
      </c>
      <c r="B226">
        <v>132555</v>
      </c>
      <c r="C226">
        <v>80186</v>
      </c>
      <c r="D226">
        <v>-9896</v>
      </c>
      <c r="E226">
        <v>-716</v>
      </c>
      <c r="F226" s="2">
        <v>1</v>
      </c>
      <c r="G226" t="s">
        <v>26</v>
      </c>
      <c r="H226" s="6"/>
      <c r="I226" s="7"/>
      <c r="J226" s="5" t="str">
        <f>IFERROR(12-(1-I226+VLOOKUP(H226,Справка!$A$2:$B$7,2,FALSE)/100)/0.055,"")</f>
        <v/>
      </c>
    </row>
    <row r="227" spans="1:10" x14ac:dyDescent="0.25">
      <c r="A227" t="s">
        <v>261</v>
      </c>
      <c r="B227">
        <v>-15254</v>
      </c>
      <c r="C227">
        <v>7227</v>
      </c>
      <c r="D227">
        <v>-7497</v>
      </c>
      <c r="E227">
        <v>-1312</v>
      </c>
      <c r="F227" s="2">
        <v>0</v>
      </c>
      <c r="G227" t="s">
        <v>108</v>
      </c>
      <c r="H227" s="6"/>
      <c r="I227" s="7"/>
      <c r="J227" s="5" t="str">
        <f>IFERROR(12-(1-I227+VLOOKUP(H227,Справка!$A$2:$B$7,2,FALSE)/100)/0.055,"")</f>
        <v/>
      </c>
    </row>
    <row r="228" spans="1:10" x14ac:dyDescent="0.25">
      <c r="A228" t="s">
        <v>336</v>
      </c>
      <c r="B228">
        <v>-101071</v>
      </c>
      <c r="C228">
        <v>58377</v>
      </c>
      <c r="D228">
        <v>-12179</v>
      </c>
      <c r="E228">
        <v>-2245</v>
      </c>
      <c r="F228" s="2">
        <v>0</v>
      </c>
      <c r="G228" t="s">
        <v>108</v>
      </c>
      <c r="H228" s="6"/>
      <c r="I228" s="7"/>
      <c r="J228" s="5" t="str">
        <f>IFERROR(12-(1-I228+VLOOKUP(H228,Справка!$A$2:$B$7,2,FALSE)/100)/0.055,"")</f>
        <v/>
      </c>
    </row>
    <row r="229" spans="1:10" x14ac:dyDescent="0.25">
      <c r="A229" t="s">
        <v>304</v>
      </c>
      <c r="B229">
        <v>108487</v>
      </c>
      <c r="C229">
        <v>8720</v>
      </c>
      <c r="D229">
        <v>-9729</v>
      </c>
      <c r="E229">
        <v>-448</v>
      </c>
      <c r="F229" s="2">
        <v>0.25</v>
      </c>
      <c r="G229" t="s">
        <v>26</v>
      </c>
      <c r="H229" s="6"/>
      <c r="I229" s="7"/>
      <c r="J229" s="5" t="str">
        <f>IFERROR(12-(1-I229+VLOOKUP(H229,Справка!$A$2:$B$7,2,FALSE)/100)/0.055,"")</f>
        <v/>
      </c>
    </row>
    <row r="230" spans="1:10" x14ac:dyDescent="0.25">
      <c r="A230" t="s">
        <v>266</v>
      </c>
      <c r="B230">
        <v>-108572</v>
      </c>
      <c r="C230">
        <v>96025</v>
      </c>
      <c r="D230">
        <v>-7688</v>
      </c>
      <c r="E230">
        <v>47</v>
      </c>
      <c r="F230" s="2">
        <v>0.09</v>
      </c>
      <c r="G230" t="s">
        <v>108</v>
      </c>
      <c r="H230" s="6"/>
      <c r="I230" s="7"/>
      <c r="J230" s="5" t="str">
        <f>IFERROR(12-(1-I230+VLOOKUP(H230,Справка!$A$2:$B$7,2,FALSE)/100)/0.055,"")</f>
        <v/>
      </c>
    </row>
    <row r="231" spans="1:10" x14ac:dyDescent="0.25">
      <c r="A231" t="s">
        <v>139</v>
      </c>
      <c r="B231">
        <v>-173684</v>
      </c>
      <c r="C231">
        <v>26640</v>
      </c>
      <c r="D231">
        <v>-185</v>
      </c>
      <c r="E231">
        <v>-3473</v>
      </c>
      <c r="F231" s="2">
        <v>0.01</v>
      </c>
      <c r="G231" t="s">
        <v>89</v>
      </c>
      <c r="H231" s="6"/>
      <c r="I231" s="7"/>
      <c r="J231" s="5" t="str">
        <f>IFERROR(12-(1-I231+VLOOKUP(H231,Справка!$A$2:$B$7,2,FALSE)/100)/0.055,"")</f>
        <v/>
      </c>
    </row>
    <row r="232" spans="1:10" x14ac:dyDescent="0.25">
      <c r="A232" t="s">
        <v>135</v>
      </c>
      <c r="B232">
        <v>-101282</v>
      </c>
      <c r="C232">
        <v>5110</v>
      </c>
      <c r="D232">
        <v>-66</v>
      </c>
      <c r="E232">
        <v>1967</v>
      </c>
      <c r="F232" s="2">
        <v>0</v>
      </c>
      <c r="G232" t="s">
        <v>108</v>
      </c>
      <c r="H232" s="6"/>
      <c r="I232" s="7"/>
      <c r="J232" s="5" t="str">
        <f>IFERROR(12-(1-I232+VLOOKUP(H232,Справка!$A$2:$B$7,2,FALSE)/100)/0.055,"")</f>
        <v/>
      </c>
    </row>
    <row r="233" spans="1:10" x14ac:dyDescent="0.25">
      <c r="A233" t="s">
        <v>294</v>
      </c>
      <c r="B233">
        <v>-55217</v>
      </c>
      <c r="C233">
        <v>43483</v>
      </c>
      <c r="D233">
        <v>-9167</v>
      </c>
      <c r="E233">
        <v>-1466</v>
      </c>
      <c r="F233" s="2">
        <v>0.28000000000000003</v>
      </c>
      <c r="G233" t="s">
        <v>108</v>
      </c>
      <c r="H233" s="6"/>
      <c r="I233" s="7"/>
      <c r="J233" s="5" t="str">
        <f>IFERROR(12-(1-I233+VLOOKUP(H233,Справка!$A$2:$B$7,2,FALSE)/100)/0.055,"")</f>
        <v/>
      </c>
    </row>
    <row r="234" spans="1:10" x14ac:dyDescent="0.25">
      <c r="A234" t="s">
        <v>146</v>
      </c>
      <c r="B234">
        <v>-60413</v>
      </c>
      <c r="C234">
        <v>-38381</v>
      </c>
      <c r="D234">
        <v>-741</v>
      </c>
      <c r="E234">
        <v>159</v>
      </c>
      <c r="F234" s="2">
        <v>0</v>
      </c>
      <c r="G234" t="s">
        <v>35</v>
      </c>
      <c r="H234" s="6"/>
      <c r="I234" s="7"/>
      <c r="J234" s="5" t="str">
        <f>IFERROR(12-(1-I234+VLOOKUP(H234,Справка!$A$2:$B$7,2,FALSE)/100)/0.055,"")</f>
        <v/>
      </c>
    </row>
    <row r="235" spans="1:10" x14ac:dyDescent="0.25">
      <c r="A235" t="s">
        <v>103</v>
      </c>
      <c r="B235">
        <v>-117984</v>
      </c>
      <c r="C235">
        <v>27872</v>
      </c>
      <c r="D235">
        <v>1846</v>
      </c>
      <c r="E235">
        <v>5377</v>
      </c>
      <c r="F235" s="2">
        <v>0</v>
      </c>
      <c r="G235" t="s">
        <v>89</v>
      </c>
      <c r="H235" s="6"/>
      <c r="I235" s="7"/>
      <c r="J235" s="5" t="str">
        <f>IFERROR(12-(1-I235+VLOOKUP(H235,Справка!$A$2:$B$7,2,FALSE)/100)/0.055,"")</f>
        <v/>
      </c>
    </row>
    <row r="236" spans="1:10" x14ac:dyDescent="0.25">
      <c r="A236" t="s">
        <v>129</v>
      </c>
      <c r="B236">
        <v>87391</v>
      </c>
      <c r="C236">
        <v>17980</v>
      </c>
      <c r="D236">
        <v>225</v>
      </c>
      <c r="E236">
        <v>4431</v>
      </c>
      <c r="F236" s="2">
        <v>1</v>
      </c>
      <c r="G236" t="s">
        <v>26</v>
      </c>
      <c r="H236" s="6"/>
      <c r="I236" s="7"/>
      <c r="J236" s="5" t="str">
        <f>IFERROR(12-(1-I236+VLOOKUP(H236,Справка!$A$2:$B$7,2,FALSE)/100)/0.055,"")</f>
        <v/>
      </c>
    </row>
    <row r="237" spans="1:10" x14ac:dyDescent="0.25">
      <c r="A237" t="s">
        <v>78</v>
      </c>
      <c r="B237">
        <v>182672</v>
      </c>
      <c r="C237">
        <v>-59176</v>
      </c>
      <c r="D237">
        <v>8813</v>
      </c>
      <c r="E237">
        <v>-1099</v>
      </c>
      <c r="F237" s="2">
        <v>0.36</v>
      </c>
      <c r="G237" t="s">
        <v>16</v>
      </c>
      <c r="H237" s="6"/>
      <c r="I237" s="7"/>
      <c r="J237" s="5" t="str">
        <f>IFERROR(12-(1-I237+VLOOKUP(H237,Справка!$A$2:$B$7,2,FALSE)/100)/0.055,"")</f>
        <v/>
      </c>
    </row>
    <row r="238" spans="1:10" x14ac:dyDescent="0.25">
      <c r="A238" t="s">
        <v>75</v>
      </c>
      <c r="B238">
        <v>197983</v>
      </c>
      <c r="C238">
        <v>-97498</v>
      </c>
      <c r="D238">
        <v>9584</v>
      </c>
      <c r="E238">
        <v>-2318</v>
      </c>
      <c r="F238" s="2">
        <v>0.02</v>
      </c>
      <c r="G238" t="s">
        <v>16</v>
      </c>
      <c r="H238" s="6"/>
      <c r="I238" s="7"/>
      <c r="J238" s="5" t="str">
        <f>IFERROR(12-(1-I238+VLOOKUP(H238,Справка!$A$2:$B$7,2,FALSE)/100)/0.055,"")</f>
        <v/>
      </c>
    </row>
    <row r="239" spans="1:10" x14ac:dyDescent="0.25">
      <c r="A239" t="s">
        <v>363</v>
      </c>
      <c r="B239">
        <v>121266</v>
      </c>
      <c r="C239">
        <v>6841</v>
      </c>
      <c r="D239">
        <v>-13587</v>
      </c>
      <c r="E239">
        <v>-2574</v>
      </c>
      <c r="F239" s="2">
        <v>0</v>
      </c>
      <c r="G239" t="s">
        <v>271</v>
      </c>
      <c r="H239" s="6"/>
      <c r="I239" s="7"/>
      <c r="J239" s="5" t="str">
        <f>IFERROR(12-(1-I239+VLOOKUP(H239,Справка!$A$2:$B$7,2,FALSE)/100)/0.055,"")</f>
        <v/>
      </c>
    </row>
    <row r="240" spans="1:10" x14ac:dyDescent="0.25">
      <c r="A240" t="s">
        <v>137</v>
      </c>
      <c r="B240">
        <v>21941</v>
      </c>
      <c r="C240">
        <v>-44792</v>
      </c>
      <c r="D240">
        <v>-156</v>
      </c>
      <c r="E240">
        <v>-4123</v>
      </c>
      <c r="F240" s="2">
        <v>0.01</v>
      </c>
      <c r="G240" t="s">
        <v>35</v>
      </c>
      <c r="H240" s="3" t="s">
        <v>17</v>
      </c>
      <c r="I240" s="4">
        <v>0.75</v>
      </c>
      <c r="J240" s="5">
        <f>IFERROR(12-(1-I240+VLOOKUP(H240,Справка!$A$2:$B$7,2,FALSE)/100)/0.055,"")</f>
        <v>-3.2145454545454548</v>
      </c>
    </row>
    <row r="241" spans="1:10" x14ac:dyDescent="0.25">
      <c r="A241" t="s">
        <v>62</v>
      </c>
      <c r="B241">
        <v>80818</v>
      </c>
      <c r="C241">
        <v>-87949</v>
      </c>
      <c r="D241">
        <v>10994</v>
      </c>
      <c r="E241">
        <v>-3668</v>
      </c>
      <c r="F241" s="2">
        <v>0.02</v>
      </c>
      <c r="G241" t="s">
        <v>16</v>
      </c>
      <c r="H241" s="6"/>
      <c r="I241" s="7"/>
      <c r="J241" s="5" t="str">
        <f>IFERROR(12-(1-I241+VLOOKUP(H241,Справка!$A$2:$B$7,2,FALSE)/100)/0.055,"")</f>
        <v/>
      </c>
    </row>
    <row r="242" spans="1:10" x14ac:dyDescent="0.25">
      <c r="A242" t="s">
        <v>57</v>
      </c>
      <c r="B242">
        <v>115541</v>
      </c>
      <c r="C242">
        <v>-64978</v>
      </c>
      <c r="D242">
        <v>11120</v>
      </c>
      <c r="E242">
        <v>2862</v>
      </c>
      <c r="F242" s="2">
        <v>0</v>
      </c>
      <c r="G242" t="s">
        <v>16</v>
      </c>
      <c r="H242" s="6"/>
      <c r="I242" s="7"/>
      <c r="J242" s="5" t="str">
        <f>IFERROR(12-(1-I242+VLOOKUP(H242,Справка!$A$2:$B$7,2,FALSE)/100)/0.055,"")</f>
        <v/>
      </c>
    </row>
    <row r="243" spans="1:10" x14ac:dyDescent="0.25">
      <c r="A243" t="s">
        <v>84</v>
      </c>
      <c r="B243">
        <v>173120</v>
      </c>
      <c r="C243">
        <v>-79036</v>
      </c>
      <c r="D243">
        <v>8187</v>
      </c>
      <c r="E243">
        <v>-1208</v>
      </c>
      <c r="F243" s="2">
        <v>0</v>
      </c>
      <c r="G243" t="s">
        <v>16</v>
      </c>
      <c r="H243" s="6"/>
      <c r="I243" s="7"/>
      <c r="J243" s="5" t="str">
        <f>IFERROR(12-(1-I243+VLOOKUP(H243,Справка!$A$2:$B$7,2,FALSE)/100)/0.055,"")</f>
        <v/>
      </c>
    </row>
    <row r="244" spans="1:10" x14ac:dyDescent="0.25">
      <c r="A244" t="s">
        <v>84</v>
      </c>
      <c r="B244">
        <v>173064</v>
      </c>
      <c r="C244">
        <v>-78955</v>
      </c>
      <c r="D244">
        <v>8164</v>
      </c>
      <c r="E244">
        <v>-1231</v>
      </c>
      <c r="F244" s="2">
        <v>0</v>
      </c>
      <c r="G244" t="s">
        <v>16</v>
      </c>
      <c r="H244" s="6"/>
      <c r="I244" s="7"/>
      <c r="J244" s="5" t="str">
        <f>IFERROR(12-(1-I244+VLOOKUP(H244,Справка!$A$2:$B$7,2,FALSE)/100)/0.055,"")</f>
        <v/>
      </c>
    </row>
    <row r="245" spans="1:10" x14ac:dyDescent="0.25">
      <c r="A245" t="s">
        <v>58</v>
      </c>
      <c r="B245">
        <v>173137</v>
      </c>
      <c r="C245">
        <v>-90912</v>
      </c>
      <c r="D245">
        <v>11065</v>
      </c>
      <c r="E245">
        <v>436</v>
      </c>
      <c r="F245" s="2">
        <v>0</v>
      </c>
      <c r="G245" t="s">
        <v>59</v>
      </c>
      <c r="H245" s="3" t="s">
        <v>47</v>
      </c>
      <c r="I245" s="4">
        <v>1</v>
      </c>
      <c r="J245" s="5">
        <f>IFERROR(12-(1-I245+VLOOKUP(H245,Справка!$A$2:$B$7,2,FALSE)/100)/0.055,"")</f>
        <v>12</v>
      </c>
    </row>
    <row r="246" spans="1:10" x14ac:dyDescent="0.25">
      <c r="A246" t="s">
        <v>190</v>
      </c>
      <c r="B246">
        <v>-84302</v>
      </c>
      <c r="C246">
        <v>6952</v>
      </c>
      <c r="D246">
        <v>-4327</v>
      </c>
      <c r="E246">
        <v>-1270</v>
      </c>
      <c r="F246" s="2">
        <v>0</v>
      </c>
      <c r="G246" t="s">
        <v>108</v>
      </c>
      <c r="H246" s="3" t="s">
        <v>17</v>
      </c>
      <c r="I246" s="4">
        <v>0.85</v>
      </c>
      <c r="J246" s="5">
        <f>IFERROR(12-(1-I246+VLOOKUP(H246,Справка!$A$2:$B$7,2,FALSE)/100)/0.055,"")</f>
        <v>-1.3963636363636365</v>
      </c>
    </row>
    <row r="247" spans="1:10" x14ac:dyDescent="0.25">
      <c r="A247" t="s">
        <v>306</v>
      </c>
      <c r="B247">
        <v>134200</v>
      </c>
      <c r="C247">
        <v>-3132</v>
      </c>
      <c r="D247">
        <v>-9808</v>
      </c>
      <c r="E247">
        <v>796</v>
      </c>
      <c r="F247" s="2">
        <v>0</v>
      </c>
      <c r="G247" t="s">
        <v>271</v>
      </c>
      <c r="H247" s="6"/>
      <c r="I247" s="7"/>
      <c r="J247" s="5" t="str">
        <f>IFERROR(12-(1-I247+VLOOKUP(H247,Справка!$A$2:$B$7,2,FALSE)/100)/0.055,"")</f>
        <v/>
      </c>
    </row>
    <row r="248" spans="1:10" x14ac:dyDescent="0.25">
      <c r="A248" t="s">
        <v>338</v>
      </c>
      <c r="B248">
        <v>134947</v>
      </c>
      <c r="C248">
        <v>11395</v>
      </c>
      <c r="D248">
        <v>-12243</v>
      </c>
      <c r="E248">
        <v>-1222</v>
      </c>
      <c r="F248" s="2">
        <v>0.06</v>
      </c>
      <c r="G248" t="s">
        <v>271</v>
      </c>
      <c r="H248" s="6"/>
      <c r="I248" s="7"/>
      <c r="J248" s="5" t="str">
        <f>IFERROR(12-(1-I248+VLOOKUP(H248,Справка!$A$2:$B$7,2,FALSE)/100)/0.055,"")</f>
        <v/>
      </c>
    </row>
    <row r="249" spans="1:10" x14ac:dyDescent="0.25">
      <c r="A249" t="s">
        <v>48</v>
      </c>
      <c r="B249">
        <v>87427</v>
      </c>
      <c r="C249">
        <v>-86992</v>
      </c>
      <c r="D249">
        <v>11561</v>
      </c>
      <c r="E249">
        <v>-3213</v>
      </c>
      <c r="F249" s="2">
        <v>0</v>
      </c>
      <c r="G249" t="s">
        <v>16</v>
      </c>
      <c r="H249" s="6"/>
      <c r="I249" s="7"/>
      <c r="J249" s="5" t="str">
        <f>IFERROR(12-(1-I249+VLOOKUP(H249,Справка!$A$2:$B$7,2,FALSE)/100)/0.055,"")</f>
        <v/>
      </c>
    </row>
    <row r="250" spans="1:10" x14ac:dyDescent="0.25">
      <c r="A250" t="s">
        <v>330</v>
      </c>
      <c r="B250">
        <v>-104945</v>
      </c>
      <c r="C250">
        <v>122912</v>
      </c>
      <c r="D250">
        <v>-11653</v>
      </c>
      <c r="E250">
        <v>-750</v>
      </c>
      <c r="F250" s="2">
        <v>0.99</v>
      </c>
      <c r="G250" t="s">
        <v>11</v>
      </c>
      <c r="H250" s="6"/>
      <c r="I250" s="7"/>
      <c r="J250" s="5" t="str">
        <f>IFERROR(12-(1-I250+VLOOKUP(H250,Справка!$A$2:$B$7,2,FALSE)/100)/0.055,"")</f>
        <v/>
      </c>
    </row>
    <row r="251" spans="1:10" x14ac:dyDescent="0.25">
      <c r="A251" t="s">
        <v>351</v>
      </c>
      <c r="B251">
        <v>-19008</v>
      </c>
      <c r="C251">
        <v>106130</v>
      </c>
      <c r="D251">
        <v>-12790</v>
      </c>
      <c r="E251">
        <v>350</v>
      </c>
      <c r="F251" s="2">
        <v>0.99</v>
      </c>
      <c r="G251" t="s">
        <v>26</v>
      </c>
      <c r="H251" s="6"/>
      <c r="I251" s="7"/>
      <c r="J251" s="5" t="str">
        <f>IFERROR(12-(1-I251+VLOOKUP(H251,Справка!$A$2:$B$7,2,FALSE)/100)/0.055,"")</f>
        <v/>
      </c>
    </row>
    <row r="252" spans="1:10" x14ac:dyDescent="0.25">
      <c r="A252" t="s">
        <v>353</v>
      </c>
      <c r="B252">
        <v>-18316</v>
      </c>
      <c r="C252">
        <v>72237</v>
      </c>
      <c r="D252">
        <v>-13103</v>
      </c>
      <c r="E252">
        <v>-875</v>
      </c>
      <c r="F252" s="2">
        <v>0.43</v>
      </c>
      <c r="G252" t="s">
        <v>354</v>
      </c>
      <c r="H252" s="6"/>
      <c r="I252" s="7"/>
      <c r="J252" s="5" t="str">
        <f>IFERROR(12-(1-I252+VLOOKUP(H252,Справка!$A$2:$B$7,2,FALSE)/100)/0.055,"")</f>
        <v/>
      </c>
    </row>
    <row r="253" spans="1:10" x14ac:dyDescent="0.25">
      <c r="A253" t="s">
        <v>315</v>
      </c>
      <c r="B253">
        <v>119882</v>
      </c>
      <c r="C253">
        <v>121615</v>
      </c>
      <c r="D253">
        <v>-10549</v>
      </c>
      <c r="E253">
        <v>3129</v>
      </c>
      <c r="F253" s="2">
        <v>1</v>
      </c>
      <c r="G253" t="s">
        <v>316</v>
      </c>
      <c r="H253" s="3" t="s">
        <v>14</v>
      </c>
      <c r="I253" s="4">
        <v>0.75</v>
      </c>
      <c r="J253" s="5">
        <f>IFERROR(12-(1-I253+VLOOKUP(H253,Справка!$A$2:$B$7,2,FALSE)/100)/0.055,"")</f>
        <v>-10.650909090909092</v>
      </c>
    </row>
    <row r="254" spans="1:10" x14ac:dyDescent="0.25">
      <c r="A254" t="s">
        <v>332</v>
      </c>
      <c r="B254">
        <v>19350</v>
      </c>
      <c r="C254">
        <v>92519</v>
      </c>
      <c r="D254">
        <v>-11776</v>
      </c>
      <c r="E254">
        <v>-237</v>
      </c>
      <c r="F254" s="2">
        <v>0.94</v>
      </c>
      <c r="G254" t="s">
        <v>26</v>
      </c>
      <c r="H254" s="6"/>
      <c r="I254" s="7"/>
      <c r="J254" s="5" t="str">
        <f>IFERROR(12-(1-I254+VLOOKUP(H254,Справка!$A$2:$B$7,2,FALSE)/100)/0.055,"")</f>
        <v/>
      </c>
    </row>
    <row r="255" spans="1:10" x14ac:dyDescent="0.25">
      <c r="A255" t="s">
        <v>29</v>
      </c>
      <c r="B255">
        <v>154614</v>
      </c>
      <c r="C255">
        <v>-125430</v>
      </c>
      <c r="D255">
        <v>14730</v>
      </c>
      <c r="E255">
        <v>-3077</v>
      </c>
      <c r="F255" s="2">
        <v>0.7</v>
      </c>
      <c r="G255" t="s">
        <v>30</v>
      </c>
      <c r="H255" s="6"/>
      <c r="I255" s="7"/>
      <c r="J255" s="5" t="str">
        <f>IFERROR(12-(1-I255+VLOOKUP(H255,Справка!$A$2:$B$7,2,FALSE)/100)/0.055,"")</f>
        <v/>
      </c>
    </row>
    <row r="256" spans="1:10" x14ac:dyDescent="0.25">
      <c r="A256" t="s">
        <v>349</v>
      </c>
      <c r="B256">
        <v>92005</v>
      </c>
      <c r="C256">
        <v>91812</v>
      </c>
      <c r="D256">
        <v>-12780</v>
      </c>
      <c r="E256">
        <v>-4055</v>
      </c>
      <c r="F256" s="2">
        <v>1</v>
      </c>
      <c r="G256" t="s">
        <v>26</v>
      </c>
      <c r="H256" s="6"/>
      <c r="I256" s="7"/>
      <c r="J256" s="5" t="str">
        <f>IFERROR(12-(1-I256+VLOOKUP(H256,Справка!$A$2:$B$7,2,FALSE)/100)/0.055,"")</f>
        <v/>
      </c>
    </row>
    <row r="257" spans="1:10" x14ac:dyDescent="0.25">
      <c r="A257" t="s">
        <v>269</v>
      </c>
      <c r="B257">
        <v>126389</v>
      </c>
      <c r="C257">
        <v>76668</v>
      </c>
      <c r="D257">
        <v>-7800</v>
      </c>
      <c r="E257">
        <v>-1781</v>
      </c>
      <c r="F257" s="2">
        <v>0.98</v>
      </c>
      <c r="G257" t="s">
        <v>26</v>
      </c>
      <c r="H257" s="6"/>
      <c r="I257" s="7"/>
      <c r="J257" s="5" t="str">
        <f>IFERROR(12-(1-I257+VLOOKUP(H257,Справка!$A$2:$B$7,2,FALSE)/100)/0.055,"")</f>
        <v/>
      </c>
    </row>
    <row r="258" spans="1:10" x14ac:dyDescent="0.25">
      <c r="A258" t="s">
        <v>104</v>
      </c>
      <c r="B258">
        <v>111395</v>
      </c>
      <c r="C258">
        <v>77770</v>
      </c>
      <c r="D258">
        <v>1822</v>
      </c>
      <c r="E258">
        <v>5275</v>
      </c>
      <c r="F258" s="2">
        <v>0.99</v>
      </c>
      <c r="G258" t="s">
        <v>26</v>
      </c>
      <c r="H258" s="3" t="s">
        <v>12</v>
      </c>
      <c r="I258" s="4">
        <v>0.75</v>
      </c>
      <c r="J258" s="5">
        <f>IFERROR(12-(1-I258+VLOOKUP(H258,Справка!$A$2:$B$7,2,FALSE)/100)/0.055,"")</f>
        <v>-18.087272727272723</v>
      </c>
    </row>
    <row r="259" spans="1:10" x14ac:dyDescent="0.25">
      <c r="A259" t="s">
        <v>308</v>
      </c>
      <c r="B259">
        <v>119988</v>
      </c>
      <c r="C259">
        <v>-22521</v>
      </c>
      <c r="D259">
        <v>-9987</v>
      </c>
      <c r="E259">
        <v>8</v>
      </c>
      <c r="F259" s="2">
        <v>0</v>
      </c>
      <c r="G259" t="s">
        <v>271</v>
      </c>
      <c r="H259" s="6"/>
      <c r="I259" s="7"/>
      <c r="J259" s="5" t="str">
        <f>IFERROR(12-(1-I259+VLOOKUP(H259,Справка!$A$2:$B$7,2,FALSE)/100)/0.055,"")</f>
        <v/>
      </c>
    </row>
    <row r="260" spans="1:10" x14ac:dyDescent="0.25">
      <c r="A260" t="s">
        <v>125</v>
      </c>
      <c r="B260">
        <v>-625</v>
      </c>
      <c r="C260">
        <v>51727</v>
      </c>
      <c r="D260">
        <v>508</v>
      </c>
      <c r="E260">
        <v>4713</v>
      </c>
      <c r="F260" s="2">
        <v>0.97</v>
      </c>
      <c r="G260" t="s">
        <v>26</v>
      </c>
      <c r="H260" s="6"/>
      <c r="I260" s="7"/>
      <c r="J260" s="5" t="str">
        <f>IFERROR(12-(1-I260+VLOOKUP(H260,Справка!$A$2:$B$7,2,FALSE)/100)/0.055,"")</f>
        <v/>
      </c>
    </row>
    <row r="261" spans="1:10" x14ac:dyDescent="0.25">
      <c r="A261" t="s">
        <v>140</v>
      </c>
      <c r="B261">
        <v>-145330</v>
      </c>
      <c r="C261">
        <v>39732</v>
      </c>
      <c r="D261">
        <v>-213</v>
      </c>
      <c r="E261">
        <v>3907</v>
      </c>
      <c r="F261" s="2">
        <v>0.01</v>
      </c>
      <c r="G261" t="s">
        <v>89</v>
      </c>
      <c r="H261" s="6"/>
      <c r="I261" s="7"/>
      <c r="J261" s="5" t="str">
        <f>IFERROR(12-(1-I261+VLOOKUP(H261,Справка!$A$2:$B$7,2,FALSE)/100)/0.055,"")</f>
        <v/>
      </c>
    </row>
    <row r="262" spans="1:10" x14ac:dyDescent="0.25">
      <c r="A262" t="s">
        <v>39</v>
      </c>
      <c r="B262">
        <v>32799</v>
      </c>
      <c r="C262">
        <v>-60908</v>
      </c>
      <c r="D262">
        <v>12891</v>
      </c>
      <c r="E262">
        <v>-280</v>
      </c>
      <c r="F262" s="2">
        <v>0.82</v>
      </c>
      <c r="G262" t="s">
        <v>11</v>
      </c>
      <c r="H262" s="6"/>
      <c r="I262" s="7"/>
      <c r="J262" s="5" t="str">
        <f>IFERROR(12-(1-I262+VLOOKUP(H262,Справка!$A$2:$B$7,2,FALSE)/100)/0.055,"")</f>
        <v/>
      </c>
    </row>
    <row r="263" spans="1:10" x14ac:dyDescent="0.25">
      <c r="A263" t="s">
        <v>365</v>
      </c>
      <c r="B263">
        <v>-144430</v>
      </c>
      <c r="C263">
        <v>117428</v>
      </c>
      <c r="D263">
        <v>-13624</v>
      </c>
      <c r="E263">
        <v>-1435</v>
      </c>
      <c r="F263" s="2">
        <v>0.81</v>
      </c>
      <c r="G263" t="s">
        <v>316</v>
      </c>
      <c r="H263" s="6"/>
      <c r="I263" s="7"/>
      <c r="J263" s="5" t="str">
        <f>IFERROR(12-(1-I263+VLOOKUP(H263,Справка!$A$2:$B$7,2,FALSE)/100)/0.055,"")</f>
        <v/>
      </c>
    </row>
    <row r="264" spans="1:10" x14ac:dyDescent="0.25">
      <c r="A264" t="s">
        <v>114</v>
      </c>
      <c r="B264">
        <v>-27043</v>
      </c>
      <c r="C264">
        <v>-71145</v>
      </c>
      <c r="D264">
        <v>1390</v>
      </c>
      <c r="E264">
        <v>1309</v>
      </c>
      <c r="F264" s="2">
        <v>0.03</v>
      </c>
      <c r="G264" t="s">
        <v>35</v>
      </c>
      <c r="H264" s="6"/>
      <c r="I264" s="7"/>
      <c r="J264" s="5" t="str">
        <f>IFERROR(12-(1-I264+VLOOKUP(H264,Справка!$A$2:$B$7,2,FALSE)/100)/0.055,"")</f>
        <v/>
      </c>
    </row>
    <row r="265" spans="1:10" x14ac:dyDescent="0.25">
      <c r="A265" t="s">
        <v>199</v>
      </c>
      <c r="B265">
        <v>-23244</v>
      </c>
      <c r="C265">
        <v>-34274</v>
      </c>
      <c r="D265">
        <v>-4490</v>
      </c>
      <c r="E265">
        <v>-3288</v>
      </c>
      <c r="F265" s="2">
        <v>0.28999999999999998</v>
      </c>
      <c r="G265" t="s">
        <v>108</v>
      </c>
      <c r="H265" s="6"/>
      <c r="I265" s="7"/>
      <c r="J265" s="5" t="str">
        <f>IFERROR(12-(1-I265+VLOOKUP(H265,Справка!$A$2:$B$7,2,FALSE)/100)/0.055,"")</f>
        <v/>
      </c>
    </row>
    <row r="266" spans="1:10" x14ac:dyDescent="0.25">
      <c r="A266" t="s">
        <v>164</v>
      </c>
      <c r="B266">
        <v>-47482</v>
      </c>
      <c r="C266">
        <v>37648</v>
      </c>
      <c r="D266">
        <v>-2927</v>
      </c>
      <c r="E266">
        <v>3556</v>
      </c>
      <c r="F266" s="2">
        <v>0.87</v>
      </c>
      <c r="G266" t="s">
        <v>26</v>
      </c>
      <c r="H266" s="6"/>
      <c r="I266" s="7"/>
      <c r="J266" s="5" t="str">
        <f>IFERROR(12-(1-I266+VLOOKUP(H266,Справка!$A$2:$B$7,2,FALSE)/100)/0.055,"")</f>
        <v/>
      </c>
    </row>
    <row r="267" spans="1:10" x14ac:dyDescent="0.25">
      <c r="A267" t="s">
        <v>286</v>
      </c>
      <c r="B267">
        <v>92382</v>
      </c>
      <c r="C267">
        <v>-5393</v>
      </c>
      <c r="D267">
        <v>-8733</v>
      </c>
      <c r="E267">
        <v>-1839</v>
      </c>
      <c r="F267" s="2">
        <v>0</v>
      </c>
      <c r="G267" t="s">
        <v>35</v>
      </c>
      <c r="H267" s="6"/>
      <c r="I267" s="7"/>
      <c r="J267" s="5" t="str">
        <f>IFERROR(12-(1-I267+VLOOKUP(H267,Справка!$A$2:$B$7,2,FALSE)/100)/0.055,"")</f>
        <v/>
      </c>
    </row>
    <row r="268" spans="1:10" x14ac:dyDescent="0.25">
      <c r="A268" t="s">
        <v>275</v>
      </c>
      <c r="B268">
        <v>59247</v>
      </c>
      <c r="C268">
        <v>53587</v>
      </c>
      <c r="D268">
        <v>-8089</v>
      </c>
      <c r="E268">
        <v>-2851</v>
      </c>
      <c r="F268" s="2">
        <v>0.98</v>
      </c>
      <c r="G268" t="s">
        <v>26</v>
      </c>
      <c r="H268" s="6"/>
      <c r="I268" s="7"/>
      <c r="J268" s="5" t="str">
        <f>IFERROR(12-(1-I268+VLOOKUP(H268,Справка!$A$2:$B$7,2,FALSE)/100)/0.055,"")</f>
        <v/>
      </c>
    </row>
    <row r="269" spans="1:10" x14ac:dyDescent="0.25">
      <c r="A269" t="s">
        <v>163</v>
      </c>
      <c r="B269">
        <v>49824</v>
      </c>
      <c r="C269">
        <v>-2452</v>
      </c>
      <c r="D269">
        <v>-2920</v>
      </c>
      <c r="E269">
        <v>-786</v>
      </c>
      <c r="F269" s="2">
        <v>0</v>
      </c>
      <c r="G269" t="s">
        <v>108</v>
      </c>
      <c r="H269" s="6"/>
      <c r="I269" s="7"/>
      <c r="J269" s="5" t="str">
        <f>IFERROR(12-(1-I269+VLOOKUP(H269,Справка!$A$2:$B$7,2,FALSE)/100)/0.055,"")</f>
        <v/>
      </c>
    </row>
    <row r="270" spans="1:10" x14ac:dyDescent="0.25">
      <c r="A270" t="s">
        <v>159</v>
      </c>
      <c r="B270">
        <v>53806</v>
      </c>
      <c r="C270">
        <v>70742</v>
      </c>
      <c r="D270">
        <v>-2197</v>
      </c>
      <c r="E270">
        <v>2404</v>
      </c>
      <c r="F270" s="2">
        <v>0.98</v>
      </c>
      <c r="G270" t="s">
        <v>26</v>
      </c>
      <c r="H270" s="6"/>
      <c r="I270" s="7"/>
      <c r="J270" s="5" t="str">
        <f>IFERROR(12-(1-I270+VLOOKUP(H270,Справка!$A$2:$B$7,2,FALSE)/100)/0.055,"")</f>
        <v/>
      </c>
    </row>
    <row r="271" spans="1:10" x14ac:dyDescent="0.25">
      <c r="A271" t="s">
        <v>33</v>
      </c>
      <c r="B271">
        <v>197151</v>
      </c>
      <c r="C271">
        <v>-116937</v>
      </c>
      <c r="D271">
        <v>13213</v>
      </c>
      <c r="E271">
        <v>-1295</v>
      </c>
      <c r="F271" s="2">
        <v>0.39</v>
      </c>
      <c r="G271" t="s">
        <v>16</v>
      </c>
      <c r="H271" s="6"/>
      <c r="I271" s="7"/>
      <c r="J271" s="5" t="str">
        <f>IFERROR(12-(1-I271+VLOOKUP(H271,Справка!$A$2:$B$7,2,FALSE)/100)/0.055,"")</f>
        <v/>
      </c>
    </row>
    <row r="272" spans="1:10" x14ac:dyDescent="0.25">
      <c r="A272" t="s">
        <v>144</v>
      </c>
      <c r="B272">
        <v>72851</v>
      </c>
      <c r="C272">
        <v>-10226</v>
      </c>
      <c r="D272">
        <v>-590</v>
      </c>
      <c r="E272">
        <v>625</v>
      </c>
      <c r="F272" s="2">
        <v>0</v>
      </c>
      <c r="G272" t="s">
        <v>35</v>
      </c>
      <c r="H272" s="6"/>
      <c r="I272" s="7"/>
      <c r="J272" s="5" t="str">
        <f>IFERROR(12-(1-I272+VLOOKUP(H272,Справка!$A$2:$B$7,2,FALSE)/100)/0.055,"")</f>
        <v/>
      </c>
    </row>
    <row r="273" spans="1:10" x14ac:dyDescent="0.25">
      <c r="A273" t="s">
        <v>80</v>
      </c>
      <c r="B273">
        <v>2535</v>
      </c>
      <c r="C273">
        <v>-90975</v>
      </c>
      <c r="D273">
        <v>8651</v>
      </c>
      <c r="E273">
        <v>-2010</v>
      </c>
      <c r="F273" s="2">
        <v>0.82</v>
      </c>
      <c r="G273" t="s">
        <v>11</v>
      </c>
      <c r="H273" s="6"/>
      <c r="I273" s="7"/>
      <c r="J273" s="5" t="str">
        <f>IFERROR(12-(1-I273+VLOOKUP(H273,Справка!$A$2:$B$7,2,FALSE)/100)/0.055,"")</f>
        <v/>
      </c>
    </row>
    <row r="274" spans="1:10" x14ac:dyDescent="0.25">
      <c r="A274" t="s">
        <v>270</v>
      </c>
      <c r="B274">
        <v>132783</v>
      </c>
      <c r="C274">
        <v>-12014</v>
      </c>
      <c r="D274">
        <v>-8049</v>
      </c>
      <c r="E274">
        <v>2413</v>
      </c>
      <c r="F274" s="2">
        <v>0</v>
      </c>
      <c r="G274" t="s">
        <v>271</v>
      </c>
      <c r="H274" s="3" t="s">
        <v>47</v>
      </c>
      <c r="I274" s="4">
        <v>1.5</v>
      </c>
      <c r="J274" s="5">
        <f>IFERROR(12-(1-I274+VLOOKUP(H274,Справка!$A$2:$B$7,2,FALSE)/100)/0.055,"")</f>
        <v>21.090909090909093</v>
      </c>
    </row>
    <row r="275" spans="1:10" x14ac:dyDescent="0.25">
      <c r="A275" t="s">
        <v>386</v>
      </c>
      <c r="B275">
        <v>-66223</v>
      </c>
      <c r="C275">
        <v>98839</v>
      </c>
      <c r="D275">
        <v>-14233</v>
      </c>
      <c r="E275">
        <v>-3712</v>
      </c>
      <c r="F275" s="2">
        <v>0</v>
      </c>
      <c r="G275" t="s">
        <v>108</v>
      </c>
      <c r="H275" s="6"/>
      <c r="I275" s="7"/>
      <c r="J275" s="5" t="str">
        <f>IFERROR(12-(1-I275+VLOOKUP(H275,Справка!$A$2:$B$7,2,FALSE)/100)/0.055,"")</f>
        <v/>
      </c>
    </row>
    <row r="276" spans="1:10" x14ac:dyDescent="0.25">
      <c r="A276" t="s">
        <v>287</v>
      </c>
      <c r="B276">
        <v>58939</v>
      </c>
      <c r="C276">
        <v>43054</v>
      </c>
      <c r="D276">
        <v>-8747</v>
      </c>
      <c r="E276">
        <v>-1752</v>
      </c>
      <c r="F276" s="2">
        <v>0.97</v>
      </c>
      <c r="G276" t="s">
        <v>26</v>
      </c>
      <c r="H276" s="6"/>
      <c r="I276" s="7"/>
      <c r="J276" s="5" t="str">
        <f>IFERROR(12-(1-I276+VLOOKUP(H276,Справка!$A$2:$B$7,2,FALSE)/100)/0.055,"")</f>
        <v/>
      </c>
    </row>
    <row r="277" spans="1:10" x14ac:dyDescent="0.25">
      <c r="A277" t="s">
        <v>388</v>
      </c>
      <c r="B277">
        <v>-120724</v>
      </c>
      <c r="C277">
        <v>129227</v>
      </c>
      <c r="D277">
        <v>-14263</v>
      </c>
      <c r="E277">
        <v>-1231</v>
      </c>
      <c r="F277" s="2">
        <v>0.23</v>
      </c>
      <c r="G277" t="s">
        <v>316</v>
      </c>
      <c r="H277" s="6"/>
      <c r="I277" s="7"/>
      <c r="J277" s="5" t="str">
        <f>IFERROR(12-(1-I277+VLOOKUP(H277,Справка!$A$2:$B$7,2,FALSE)/100)/0.055,"")</f>
        <v/>
      </c>
    </row>
    <row r="278" spans="1:10" x14ac:dyDescent="0.25">
      <c r="A278" t="s">
        <v>229</v>
      </c>
      <c r="B278">
        <v>-108568</v>
      </c>
      <c r="C278">
        <v>40085</v>
      </c>
      <c r="D278">
        <v>-5654</v>
      </c>
      <c r="E278">
        <v>-312</v>
      </c>
      <c r="F278" s="2">
        <v>0</v>
      </c>
      <c r="G278" t="s">
        <v>89</v>
      </c>
      <c r="H278" s="6"/>
      <c r="I278" s="7"/>
      <c r="J278" s="5" t="str">
        <f>IFERROR(12-(1-I278+VLOOKUP(H278,Справка!$A$2:$B$7,2,FALSE)/100)/0.055,"")</f>
        <v/>
      </c>
    </row>
    <row r="279" spans="1:10" x14ac:dyDescent="0.25">
      <c r="A279" t="s">
        <v>298</v>
      </c>
      <c r="B279">
        <v>145509</v>
      </c>
      <c r="C279">
        <v>71698</v>
      </c>
      <c r="D279">
        <v>-9351</v>
      </c>
      <c r="E279">
        <v>1764</v>
      </c>
      <c r="F279" s="2">
        <v>0.98</v>
      </c>
      <c r="G279" t="s">
        <v>26</v>
      </c>
      <c r="H279" s="6"/>
      <c r="I279" s="7"/>
      <c r="J279" s="5" t="str">
        <f>IFERROR(12-(1-I279+VLOOKUP(H279,Справка!$A$2:$B$7,2,FALSE)/100)/0.055,"")</f>
        <v/>
      </c>
    </row>
    <row r="280" spans="1:10" x14ac:dyDescent="0.25">
      <c r="A280" t="s">
        <v>331</v>
      </c>
      <c r="B280">
        <v>-81350</v>
      </c>
      <c r="C280">
        <v>95430</v>
      </c>
      <c r="D280">
        <v>-11747</v>
      </c>
      <c r="E280">
        <v>-1750</v>
      </c>
      <c r="F280" s="2">
        <v>0</v>
      </c>
      <c r="G280" t="s">
        <v>108</v>
      </c>
      <c r="H280" s="6"/>
      <c r="I280" s="7"/>
      <c r="J280" s="5" t="str">
        <f>IFERROR(12-(1-I280+VLOOKUP(H280,Справка!$A$2:$B$7,2,FALSE)/100)/0.055,"")</f>
        <v/>
      </c>
    </row>
    <row r="281" spans="1:10" x14ac:dyDescent="0.25">
      <c r="A281" t="s">
        <v>331</v>
      </c>
      <c r="B281">
        <v>-81284</v>
      </c>
      <c r="C281">
        <v>95341</v>
      </c>
      <c r="D281">
        <v>-11769</v>
      </c>
      <c r="E281">
        <v>-1772</v>
      </c>
      <c r="F281" s="2">
        <v>0</v>
      </c>
      <c r="G281" t="s">
        <v>108</v>
      </c>
      <c r="H281" s="6"/>
      <c r="I281" s="7"/>
      <c r="J281" s="5" t="str">
        <f>IFERROR(12-(1-I281+VLOOKUP(H281,Справка!$A$2:$B$7,2,FALSE)/100)/0.055,"")</f>
        <v/>
      </c>
    </row>
    <row r="282" spans="1:10" x14ac:dyDescent="0.25">
      <c r="A282" t="s">
        <v>370</v>
      </c>
      <c r="B282">
        <v>-78244</v>
      </c>
      <c r="C282">
        <v>91173</v>
      </c>
      <c r="D282">
        <v>-13803</v>
      </c>
      <c r="E282">
        <v>-2729</v>
      </c>
      <c r="F282" s="2">
        <v>0</v>
      </c>
      <c r="G282" t="s">
        <v>108</v>
      </c>
      <c r="H282" s="3" t="s">
        <v>17</v>
      </c>
      <c r="I282" s="4">
        <v>0.75</v>
      </c>
      <c r="J282" s="5">
        <f>IFERROR(12-(1-I282+VLOOKUP(H282,Справка!$A$2:$B$7,2,FALSE)/100)/0.055,"")</f>
        <v>-3.2145454545454548</v>
      </c>
    </row>
    <row r="283" spans="1:10" x14ac:dyDescent="0.25">
      <c r="A283" t="s">
        <v>361</v>
      </c>
      <c r="B283">
        <v>-47782</v>
      </c>
      <c r="C283">
        <v>128632</v>
      </c>
      <c r="D283">
        <v>-13582</v>
      </c>
      <c r="E283">
        <v>-119</v>
      </c>
      <c r="F283" s="2">
        <v>0</v>
      </c>
      <c r="G283" t="s">
        <v>362</v>
      </c>
      <c r="H283" s="3" t="s">
        <v>19</v>
      </c>
      <c r="I283" s="4">
        <v>0.75</v>
      </c>
      <c r="J283" s="5">
        <f>IFERROR(12-(1-I283+VLOOKUP(H283,Справка!$A$2:$B$7,2,FALSE)/100)/0.055,"")</f>
        <v>-6.9327272727272735</v>
      </c>
    </row>
    <row r="284" spans="1:10" x14ac:dyDescent="0.25">
      <c r="A284" t="s">
        <v>50</v>
      </c>
      <c r="B284">
        <v>173039</v>
      </c>
      <c r="C284">
        <v>-107308</v>
      </c>
      <c r="D284">
        <v>11534</v>
      </c>
      <c r="E284">
        <v>-913</v>
      </c>
      <c r="F284" s="2">
        <v>0.12</v>
      </c>
      <c r="G284" t="s">
        <v>16</v>
      </c>
      <c r="H284" s="6"/>
      <c r="I284" s="7"/>
      <c r="J284" s="5" t="str">
        <f>IFERROR(12-(1-I284+VLOOKUP(H284,Справка!$A$2:$B$7,2,FALSE)/100)/0.055,"")</f>
        <v/>
      </c>
    </row>
    <row r="285" spans="1:10" x14ac:dyDescent="0.25">
      <c r="A285" t="s">
        <v>390</v>
      </c>
      <c r="B285">
        <v>187508</v>
      </c>
      <c r="C285">
        <v>67975</v>
      </c>
      <c r="D285">
        <v>-14317</v>
      </c>
      <c r="E285">
        <v>-695</v>
      </c>
      <c r="F285" s="2">
        <v>1</v>
      </c>
      <c r="G285" t="s">
        <v>316</v>
      </c>
      <c r="H285" s="6"/>
      <c r="I285" s="7"/>
      <c r="J285" s="5" t="str">
        <f>IFERROR(12-(1-I285+VLOOKUP(H285,Справка!$A$2:$B$7,2,FALSE)/100)/0.055,"")</f>
        <v/>
      </c>
    </row>
    <row r="286" spans="1:10" x14ac:dyDescent="0.25">
      <c r="A286" t="s">
        <v>102</v>
      </c>
      <c r="B286">
        <v>-9404</v>
      </c>
      <c r="C286">
        <v>-76357</v>
      </c>
      <c r="D286">
        <v>2216</v>
      </c>
      <c r="E286">
        <v>-523</v>
      </c>
      <c r="F286" s="2">
        <v>7.0000000000000007E-2</v>
      </c>
      <c r="G286" t="s">
        <v>35</v>
      </c>
      <c r="H286" s="6"/>
      <c r="I286" s="7"/>
      <c r="J286" s="5" t="str">
        <f>IFERROR(12-(1-I286+VLOOKUP(H286,Справка!$A$2:$B$7,2,FALSE)/100)/0.055,"")</f>
        <v/>
      </c>
    </row>
    <row r="287" spans="1:10" x14ac:dyDescent="0.25">
      <c r="A287" t="s">
        <v>88</v>
      </c>
      <c r="B287">
        <v>-180420</v>
      </c>
      <c r="C287">
        <v>-19104</v>
      </c>
      <c r="D287">
        <v>6779</v>
      </c>
      <c r="E287">
        <v>-2239</v>
      </c>
      <c r="F287" s="2">
        <v>0.01</v>
      </c>
      <c r="G287" t="s">
        <v>89</v>
      </c>
      <c r="H287" s="6"/>
      <c r="I287" s="7"/>
      <c r="J287" s="5" t="str">
        <f>IFERROR(12-(1-I287+VLOOKUP(H287,Справка!$A$2:$B$7,2,FALSE)/100)/0.055,"")</f>
        <v/>
      </c>
    </row>
    <row r="288" spans="1:10" x14ac:dyDescent="0.25">
      <c r="A288" t="s">
        <v>219</v>
      </c>
      <c r="B288">
        <v>-114542</v>
      </c>
      <c r="C288">
        <v>-6796</v>
      </c>
      <c r="D288">
        <v>-5318</v>
      </c>
      <c r="E288">
        <v>-1631</v>
      </c>
      <c r="F288" s="2">
        <v>0</v>
      </c>
      <c r="G288" t="s">
        <v>89</v>
      </c>
      <c r="H288" s="6"/>
      <c r="I288" s="7"/>
      <c r="J288" s="5" t="str">
        <f>IFERROR(12-(1-I288+VLOOKUP(H288,Справка!$A$2:$B$7,2,FALSE)/100)/0.055,"")</f>
        <v/>
      </c>
    </row>
    <row r="289" spans="1:10" x14ac:dyDescent="0.25">
      <c r="A289" t="s">
        <v>267</v>
      </c>
      <c r="B289">
        <v>-94075</v>
      </c>
      <c r="C289">
        <v>99077</v>
      </c>
      <c r="D289">
        <v>-7700</v>
      </c>
      <c r="E289">
        <v>385</v>
      </c>
      <c r="F289" s="2">
        <v>0.62</v>
      </c>
      <c r="G289" t="s">
        <v>108</v>
      </c>
      <c r="H289" s="6"/>
      <c r="I289" s="7"/>
      <c r="J289" s="5" t="str">
        <f>IFERROR(12-(1-I289+VLOOKUP(H289,Справка!$A$2:$B$7,2,FALSE)/100)/0.055,"")</f>
        <v/>
      </c>
    </row>
    <row r="290" spans="1:10" x14ac:dyDescent="0.25">
      <c r="A290" t="s">
        <v>46</v>
      </c>
      <c r="B290">
        <v>122814</v>
      </c>
      <c r="C290">
        <v>-66094</v>
      </c>
      <c r="D290">
        <v>11693</v>
      </c>
      <c r="E290">
        <v>1856</v>
      </c>
      <c r="F290" s="2">
        <v>0</v>
      </c>
      <c r="G290" t="s">
        <v>16</v>
      </c>
      <c r="H290" s="3" t="s">
        <v>47</v>
      </c>
      <c r="I290" s="4">
        <v>1</v>
      </c>
      <c r="J290" s="5">
        <f>IFERROR(12-(1-I290+VLOOKUP(H290,Справка!$A$2:$B$7,2,FALSE)/100)/0.055,"")</f>
        <v>12</v>
      </c>
    </row>
    <row r="291" spans="1:10" x14ac:dyDescent="0.25">
      <c r="A291" t="s">
        <v>90</v>
      </c>
      <c r="B291">
        <v>168746</v>
      </c>
      <c r="C291">
        <v>-51130</v>
      </c>
      <c r="D291">
        <v>5648</v>
      </c>
      <c r="E291">
        <v>-182</v>
      </c>
      <c r="F291" s="2">
        <v>0</v>
      </c>
      <c r="G291" t="s">
        <v>35</v>
      </c>
      <c r="H291" s="6"/>
      <c r="I291" s="7"/>
      <c r="J291" s="5" t="str">
        <f>IFERROR(12-(1-I291+VLOOKUP(H291,Справка!$A$2:$B$7,2,FALSE)/100)/0.055,"")</f>
        <v/>
      </c>
    </row>
    <row r="292" spans="1:10" x14ac:dyDescent="0.25">
      <c r="A292" t="s">
        <v>143</v>
      </c>
      <c r="B292">
        <v>-70966</v>
      </c>
      <c r="C292">
        <v>-80573</v>
      </c>
      <c r="D292">
        <v>-461</v>
      </c>
      <c r="E292">
        <v>-5416</v>
      </c>
      <c r="F292" s="2">
        <v>0.01</v>
      </c>
      <c r="G292" t="s">
        <v>35</v>
      </c>
      <c r="H292" s="6"/>
      <c r="I292" s="7"/>
      <c r="J292" s="5" t="str">
        <f>IFERROR(12-(1-I292+VLOOKUP(H292,Справка!$A$2:$B$7,2,FALSE)/100)/0.055,"")</f>
        <v/>
      </c>
    </row>
    <row r="293" spans="1:10" x14ac:dyDescent="0.25">
      <c r="A293" t="s">
        <v>177</v>
      </c>
      <c r="B293">
        <v>159835</v>
      </c>
      <c r="C293">
        <v>5185</v>
      </c>
      <c r="D293">
        <v>-3718</v>
      </c>
      <c r="E293">
        <v>-2546</v>
      </c>
      <c r="F293" s="2">
        <v>0.5</v>
      </c>
      <c r="G293" t="s">
        <v>26</v>
      </c>
      <c r="H293" s="6"/>
      <c r="I293" s="7"/>
      <c r="J293" s="5" t="str">
        <f>IFERROR(12-(1-I293+VLOOKUP(H293,Справка!$A$2:$B$7,2,FALSE)/100)/0.055,"")</f>
        <v/>
      </c>
    </row>
    <row r="294" spans="1:10" x14ac:dyDescent="0.25">
      <c r="A294" t="s">
        <v>239</v>
      </c>
      <c r="B294">
        <v>73827</v>
      </c>
      <c r="C294">
        <v>46035</v>
      </c>
      <c r="D294">
        <v>-6274</v>
      </c>
      <c r="E294">
        <v>-1196</v>
      </c>
      <c r="F294" s="2">
        <v>0.91</v>
      </c>
      <c r="G294" t="s">
        <v>26</v>
      </c>
      <c r="H294" s="6"/>
      <c r="I294" s="7"/>
      <c r="J294" s="5" t="str">
        <f>IFERROR(12-(1-I294+VLOOKUP(H294,Справка!$A$2:$B$7,2,FALSE)/100)/0.055,"")</f>
        <v/>
      </c>
    </row>
    <row r="295" spans="1:10" x14ac:dyDescent="0.25">
      <c r="A295" t="s">
        <v>184</v>
      </c>
      <c r="B295">
        <v>-148453</v>
      </c>
      <c r="C295">
        <v>-12833</v>
      </c>
      <c r="D295">
        <v>-4136</v>
      </c>
      <c r="E295">
        <v>-2597</v>
      </c>
      <c r="F295" s="2">
        <v>0</v>
      </c>
      <c r="G295" t="s">
        <v>89</v>
      </c>
      <c r="H295" s="6"/>
      <c r="I295" s="7"/>
      <c r="J295" s="5" t="str">
        <f>IFERROR(12-(1-I295+VLOOKUP(H295,Справка!$A$2:$B$7,2,FALSE)/100)/0.055,"")</f>
        <v/>
      </c>
    </row>
    <row r="296" spans="1:10" x14ac:dyDescent="0.25">
      <c r="A296" t="s">
        <v>162</v>
      </c>
      <c r="B296">
        <v>-79067</v>
      </c>
      <c r="C296">
        <v>111308</v>
      </c>
      <c r="D296">
        <v>-2612</v>
      </c>
      <c r="E296">
        <v>5114</v>
      </c>
      <c r="F296" s="2">
        <v>1</v>
      </c>
      <c r="G296" t="s">
        <v>11</v>
      </c>
      <c r="H296" s="6"/>
      <c r="I296" s="7"/>
      <c r="J296" s="5" t="str">
        <f>IFERROR(12-(1-I296+VLOOKUP(H296,Справка!$A$2:$B$7,2,FALSE)/100)/0.055,"")</f>
        <v/>
      </c>
    </row>
    <row r="297" spans="1:10" x14ac:dyDescent="0.25">
      <c r="A297" t="s">
        <v>117</v>
      </c>
      <c r="B297">
        <v>-17963</v>
      </c>
      <c r="C297">
        <v>-87703</v>
      </c>
      <c r="D297">
        <v>1049</v>
      </c>
      <c r="E297">
        <v>-3524</v>
      </c>
      <c r="F297" s="2">
        <v>0.05</v>
      </c>
      <c r="G297" t="s">
        <v>35</v>
      </c>
      <c r="H297" s="6"/>
      <c r="I297" s="7"/>
      <c r="J297" s="5" t="str">
        <f>IFERROR(12-(1-I297+VLOOKUP(H297,Справка!$A$2:$B$7,2,FALSE)/100)/0.055,"")</f>
        <v/>
      </c>
    </row>
    <row r="298" spans="1:10" x14ac:dyDescent="0.25">
      <c r="A298" t="s">
        <v>344</v>
      </c>
      <c r="B298">
        <v>-80784</v>
      </c>
      <c r="C298">
        <v>47328</v>
      </c>
      <c r="D298">
        <v>-12474</v>
      </c>
      <c r="E298">
        <v>-2188</v>
      </c>
      <c r="F298" s="2">
        <v>0</v>
      </c>
      <c r="G298" t="s">
        <v>108</v>
      </c>
      <c r="H298" s="6"/>
      <c r="I298" s="7"/>
      <c r="J298" s="5" t="str">
        <f>IFERROR(12-(1-I298+VLOOKUP(H298,Справка!$A$2:$B$7,2,FALSE)/100)/0.055,"")</f>
        <v/>
      </c>
    </row>
    <row r="299" spans="1:10" x14ac:dyDescent="0.25">
      <c r="A299" t="s">
        <v>56</v>
      </c>
      <c r="B299">
        <v>112109</v>
      </c>
      <c r="C299">
        <v>-82837</v>
      </c>
      <c r="D299">
        <v>11124</v>
      </c>
      <c r="E299">
        <v>-1431</v>
      </c>
      <c r="F299" s="2">
        <v>0</v>
      </c>
      <c r="G299" t="s">
        <v>16</v>
      </c>
      <c r="H299" s="6"/>
      <c r="I299" s="7"/>
      <c r="J299" s="5" t="str">
        <f>IFERROR(12-(1-I299+VLOOKUP(H299,Справка!$A$2:$B$7,2,FALSE)/100)/0.055,"")</f>
        <v/>
      </c>
    </row>
    <row r="300" spans="1:10" x14ac:dyDescent="0.25">
      <c r="A300" t="s">
        <v>309</v>
      </c>
      <c r="B300">
        <v>137472</v>
      </c>
      <c r="C300">
        <v>-34240</v>
      </c>
      <c r="D300">
        <v>-10104</v>
      </c>
      <c r="E300">
        <v>-4742</v>
      </c>
      <c r="F300" s="2">
        <v>0</v>
      </c>
      <c r="G300" t="s">
        <v>271</v>
      </c>
      <c r="H300" s="6"/>
      <c r="I300" s="7"/>
      <c r="J300" s="5" t="str">
        <f>IFERROR(12-(1-I300+VLOOKUP(H300,Справка!$A$2:$B$7,2,FALSE)/100)/0.055,"")</f>
        <v/>
      </c>
    </row>
    <row r="301" spans="1:10" x14ac:dyDescent="0.25">
      <c r="A301" t="s">
        <v>300</v>
      </c>
      <c r="B301">
        <v>95321</v>
      </c>
      <c r="C301">
        <v>-28958</v>
      </c>
      <c r="D301">
        <v>-9496</v>
      </c>
      <c r="E301">
        <v>-4900</v>
      </c>
      <c r="F301" s="2">
        <v>0</v>
      </c>
      <c r="G301" t="s">
        <v>35</v>
      </c>
      <c r="H301" s="6"/>
      <c r="I301" s="7"/>
      <c r="J301" s="5" t="str">
        <f>IFERROR(12-(1-I301+VLOOKUP(H301,Справка!$A$2:$B$7,2,FALSE)/100)/0.055,"")</f>
        <v/>
      </c>
    </row>
    <row r="302" spans="1:10" x14ac:dyDescent="0.25">
      <c r="A302" t="s">
        <v>197</v>
      </c>
      <c r="B302">
        <v>-41600</v>
      </c>
      <c r="C302">
        <v>-83776</v>
      </c>
      <c r="D302">
        <v>-4408</v>
      </c>
      <c r="E302">
        <v>-3740</v>
      </c>
      <c r="F302" s="2">
        <v>0</v>
      </c>
      <c r="G302" t="s">
        <v>167</v>
      </c>
      <c r="H302" s="6"/>
      <c r="I302" s="7"/>
      <c r="J302" s="5" t="str">
        <f>IFERROR(12-(1-I302+VLOOKUP(H302,Справка!$A$2:$B$7,2,FALSE)/100)/0.055,"")</f>
        <v/>
      </c>
    </row>
    <row r="303" spans="1:10" x14ac:dyDescent="0.25">
      <c r="A303" t="s">
        <v>329</v>
      </c>
      <c r="B303">
        <v>-85230</v>
      </c>
      <c r="C303">
        <v>68069</v>
      </c>
      <c r="D303">
        <v>-11647</v>
      </c>
      <c r="E303">
        <v>227</v>
      </c>
      <c r="F303" s="2">
        <v>0</v>
      </c>
      <c r="G303" t="s">
        <v>108</v>
      </c>
      <c r="H303" s="6"/>
      <c r="I303" s="7"/>
      <c r="J303" s="5" t="str">
        <f>IFERROR(12-(1-I303+VLOOKUP(H303,Справка!$A$2:$B$7,2,FALSE)/100)/0.055,"")</f>
        <v/>
      </c>
    </row>
    <row r="304" spans="1:10" x14ac:dyDescent="0.25">
      <c r="A304" t="s">
        <v>319</v>
      </c>
      <c r="B304">
        <v>-67284</v>
      </c>
      <c r="C304">
        <v>52918</v>
      </c>
      <c r="D304">
        <v>-10714</v>
      </c>
      <c r="E304">
        <v>-239</v>
      </c>
      <c r="F304" s="2">
        <v>0.03</v>
      </c>
      <c r="G304" t="s">
        <v>108</v>
      </c>
      <c r="H304" s="6"/>
      <c r="I304" s="7"/>
      <c r="J304" s="5" t="str">
        <f>IFERROR(12-(1-I304+VLOOKUP(H304,Справка!$A$2:$B$7,2,FALSE)/100)/0.055,"")</f>
        <v/>
      </c>
    </row>
    <row r="305" spans="1:10" x14ac:dyDescent="0.25">
      <c r="A305" t="s">
        <v>392</v>
      </c>
      <c r="B305">
        <v>-23080</v>
      </c>
      <c r="C305">
        <v>88177</v>
      </c>
      <c r="D305">
        <v>-14421</v>
      </c>
      <c r="E305">
        <v>-1459</v>
      </c>
      <c r="F305" s="2">
        <v>0.73</v>
      </c>
      <c r="G305" t="s">
        <v>354</v>
      </c>
      <c r="H305" s="3" t="s">
        <v>19</v>
      </c>
      <c r="I305" s="4">
        <v>0.75</v>
      </c>
      <c r="J305" s="5">
        <f>IFERROR(12-(1-I305+VLOOKUP(H305,Справка!$A$2:$B$7,2,FALSE)/100)/0.055,"")</f>
        <v>-6.9327272727272735</v>
      </c>
    </row>
    <row r="306" spans="1:10" x14ac:dyDescent="0.25">
      <c r="A306" t="s">
        <v>154</v>
      </c>
      <c r="B306">
        <v>16748</v>
      </c>
      <c r="C306">
        <v>43799</v>
      </c>
      <c r="D306">
        <v>-1665</v>
      </c>
      <c r="E306">
        <v>1714</v>
      </c>
      <c r="F306" s="2">
        <v>0.83</v>
      </c>
      <c r="G306" t="s">
        <v>26</v>
      </c>
      <c r="H306" s="6"/>
      <c r="I306" s="7"/>
      <c r="J306" s="5" t="str">
        <f>IFERROR(12-(1-I306+VLOOKUP(H306,Справка!$A$2:$B$7,2,FALSE)/100)/0.055,"")</f>
        <v/>
      </c>
    </row>
    <row r="307" spans="1:10" x14ac:dyDescent="0.25">
      <c r="A307" t="s">
        <v>119</v>
      </c>
      <c r="B307">
        <v>-105457</v>
      </c>
      <c r="C307">
        <v>14530</v>
      </c>
      <c r="D307">
        <v>901</v>
      </c>
      <c r="E307">
        <v>2989</v>
      </c>
      <c r="F307" s="2">
        <v>0</v>
      </c>
      <c r="G307" t="s">
        <v>108</v>
      </c>
      <c r="H307" s="6"/>
      <c r="I307" s="7"/>
      <c r="J307" s="5" t="str">
        <f>IFERROR(12-(1-I307+VLOOKUP(H307,Справка!$A$2:$B$7,2,FALSE)/100)/0.055,"")</f>
        <v/>
      </c>
    </row>
    <row r="308" spans="1:10" x14ac:dyDescent="0.25">
      <c r="A308" t="s">
        <v>220</v>
      </c>
      <c r="B308">
        <v>-133685</v>
      </c>
      <c r="C308">
        <v>-11703</v>
      </c>
      <c r="D308">
        <v>-5325</v>
      </c>
      <c r="E308">
        <v>-1469</v>
      </c>
      <c r="F308" s="2">
        <v>0</v>
      </c>
      <c r="G308" t="s">
        <v>89</v>
      </c>
      <c r="H308" s="6"/>
      <c r="I308" s="7"/>
      <c r="J308" s="5" t="str">
        <f>IFERROR(12-(1-I308+VLOOKUP(H308,Справка!$A$2:$B$7,2,FALSE)/100)/0.055,"")</f>
        <v/>
      </c>
    </row>
    <row r="309" spans="1:10" x14ac:dyDescent="0.25">
      <c r="A309" t="s">
        <v>110</v>
      </c>
      <c r="B309">
        <v>8249</v>
      </c>
      <c r="C309">
        <v>-57383</v>
      </c>
      <c r="D309">
        <v>1479</v>
      </c>
      <c r="E309">
        <v>-2390</v>
      </c>
      <c r="F309" s="2">
        <v>0.04</v>
      </c>
      <c r="G309" t="s">
        <v>35</v>
      </c>
      <c r="H309" s="6"/>
      <c r="I309" s="7"/>
      <c r="J309" s="5" t="str">
        <f>IFERROR(12-(1-I309+VLOOKUP(H309,Справка!$A$2:$B$7,2,FALSE)/100)/0.055,"")</f>
        <v/>
      </c>
    </row>
    <row r="310" spans="1:10" x14ac:dyDescent="0.25">
      <c r="A310" t="s">
        <v>327</v>
      </c>
      <c r="B310">
        <v>-74344</v>
      </c>
      <c r="C310">
        <v>96470</v>
      </c>
      <c r="D310">
        <v>-11510</v>
      </c>
      <c r="E310">
        <v>-1071</v>
      </c>
      <c r="F310" s="2">
        <v>0</v>
      </c>
      <c r="G310" t="s">
        <v>108</v>
      </c>
      <c r="H310" s="6"/>
      <c r="I310" s="7"/>
      <c r="J310" s="5" t="str">
        <f>IFERROR(12-(1-I310+VLOOKUP(H310,Справка!$A$2:$B$7,2,FALSE)/100)/0.055,"")</f>
        <v/>
      </c>
    </row>
    <row r="311" spans="1:10" x14ac:dyDescent="0.25">
      <c r="A311" t="s">
        <v>352</v>
      </c>
      <c r="B311">
        <v>140367</v>
      </c>
      <c r="C311">
        <v>25867</v>
      </c>
      <c r="D311">
        <v>-12884</v>
      </c>
      <c r="E311">
        <v>-1740</v>
      </c>
      <c r="F311" s="2">
        <v>1</v>
      </c>
      <c r="G311" t="s">
        <v>26</v>
      </c>
      <c r="H311" s="6"/>
      <c r="I311" s="7"/>
      <c r="J311" s="5" t="str">
        <f>IFERROR(12-(1-I311+VLOOKUP(H311,Справка!$A$2:$B$7,2,FALSE)/100)/0.055,"")</f>
        <v/>
      </c>
    </row>
    <row r="312" spans="1:10" x14ac:dyDescent="0.25">
      <c r="A312" t="s">
        <v>247</v>
      </c>
      <c r="B312">
        <v>32789</v>
      </c>
      <c r="C312">
        <v>26084</v>
      </c>
      <c r="D312">
        <v>-6778</v>
      </c>
      <c r="E312">
        <v>-1006</v>
      </c>
      <c r="F312" s="2">
        <v>0.01</v>
      </c>
      <c r="G312" t="s">
        <v>108</v>
      </c>
      <c r="H312" s="6"/>
      <c r="I312" s="7"/>
      <c r="J312" s="5" t="str">
        <f>IFERROR(12-(1-I312+VLOOKUP(H312,Справка!$A$2:$B$7,2,FALSE)/100)/0.055,"")</f>
        <v/>
      </c>
    </row>
    <row r="313" spans="1:10" x14ac:dyDescent="0.25">
      <c r="A313" t="s">
        <v>356</v>
      </c>
      <c r="B313">
        <v>149758</v>
      </c>
      <c r="C313">
        <v>35761</v>
      </c>
      <c r="D313">
        <v>-13237</v>
      </c>
      <c r="E313">
        <v>-2552</v>
      </c>
      <c r="F313" s="2">
        <v>1</v>
      </c>
      <c r="G313" t="s">
        <v>26</v>
      </c>
      <c r="H313" s="6"/>
      <c r="I313" s="7"/>
      <c r="J313" s="5" t="str">
        <f>IFERROR(12-(1-I313+VLOOKUP(H313,Справка!$A$2:$B$7,2,FALSE)/100)/0.055,"")</f>
        <v/>
      </c>
    </row>
    <row r="314" spans="1:10" x14ac:dyDescent="0.25">
      <c r="A314" t="s">
        <v>201</v>
      </c>
      <c r="B314">
        <v>19264</v>
      </c>
      <c r="C314">
        <v>-16976</v>
      </c>
      <c r="D314">
        <v>-4535</v>
      </c>
      <c r="E314">
        <v>-2001</v>
      </c>
      <c r="F314" s="2">
        <v>0.02</v>
      </c>
      <c r="G314" t="s">
        <v>108</v>
      </c>
      <c r="H314" s="6"/>
      <c r="I314" s="7"/>
      <c r="J314" s="5" t="str">
        <f>IFERROR(12-(1-I314+VLOOKUP(H314,Справка!$A$2:$B$7,2,FALSE)/100)/0.055,"")</f>
        <v/>
      </c>
    </row>
    <row r="315" spans="1:10" x14ac:dyDescent="0.25">
      <c r="A315" t="s">
        <v>200</v>
      </c>
      <c r="B315">
        <v>-164369</v>
      </c>
      <c r="C315">
        <v>5654</v>
      </c>
      <c r="D315">
        <v>-4506</v>
      </c>
      <c r="E315">
        <v>-4330</v>
      </c>
      <c r="F315" s="2">
        <v>0</v>
      </c>
      <c r="G315" t="s">
        <v>89</v>
      </c>
      <c r="H315" s="6"/>
      <c r="I315" s="7"/>
      <c r="J315" s="5" t="str">
        <f>IFERROR(12-(1-I315+VLOOKUP(H315,Справка!$A$2:$B$7,2,FALSE)/100)/0.055,"")</f>
        <v/>
      </c>
    </row>
    <row r="316" spans="1:10" x14ac:dyDescent="0.25">
      <c r="A316" t="s">
        <v>51</v>
      </c>
      <c r="B316">
        <v>112595</v>
      </c>
      <c r="C316">
        <v>-70922</v>
      </c>
      <c r="D316">
        <v>11510</v>
      </c>
      <c r="E316">
        <v>664</v>
      </c>
      <c r="F316" s="2">
        <v>0</v>
      </c>
      <c r="G316" t="s">
        <v>16</v>
      </c>
      <c r="H316" s="6"/>
      <c r="I316" s="7"/>
      <c r="J316" s="5" t="str">
        <f>IFERROR(12-(1-I316+VLOOKUP(H316,Справка!$A$2:$B$7,2,FALSE)/100)/0.055,"")</f>
        <v/>
      </c>
    </row>
    <row r="317" spans="1:10" x14ac:dyDescent="0.25">
      <c r="A317" t="s">
        <v>54</v>
      </c>
      <c r="B317">
        <v>165900</v>
      </c>
      <c r="C317">
        <v>-108707</v>
      </c>
      <c r="D317">
        <v>11226</v>
      </c>
      <c r="E317">
        <v>-1331</v>
      </c>
      <c r="F317" s="2">
        <v>0</v>
      </c>
      <c r="G317" t="s">
        <v>16</v>
      </c>
      <c r="H317" s="6"/>
      <c r="I317" s="7"/>
      <c r="J317" s="5" t="str">
        <f>IFERROR(12-(1-I317+VLOOKUP(H317,Справка!$A$2:$B$7,2,FALSE)/100)/0.055,"")</f>
        <v/>
      </c>
    </row>
    <row r="318" spans="1:10" x14ac:dyDescent="0.25">
      <c r="A318" t="s">
        <v>186</v>
      </c>
      <c r="B318">
        <v>33696</v>
      </c>
      <c r="C318">
        <v>-4928</v>
      </c>
      <c r="D318">
        <v>-4256</v>
      </c>
      <c r="E318">
        <v>-1278</v>
      </c>
      <c r="F318" s="2">
        <v>0</v>
      </c>
      <c r="G318" t="s">
        <v>108</v>
      </c>
      <c r="H318" s="6"/>
      <c r="I318" s="7"/>
      <c r="J318" s="5" t="str">
        <f>IFERROR(12-(1-I318+VLOOKUP(H318,Справка!$A$2:$B$7,2,FALSE)/100)/0.055,"")</f>
        <v/>
      </c>
    </row>
    <row r="319" spans="1:10" x14ac:dyDescent="0.25">
      <c r="A319" t="s">
        <v>368</v>
      </c>
      <c r="B319">
        <v>146687</v>
      </c>
      <c r="C319">
        <v>33898</v>
      </c>
      <c r="D319">
        <v>-13689</v>
      </c>
      <c r="E319">
        <v>-2496</v>
      </c>
      <c r="F319" s="2">
        <v>1</v>
      </c>
      <c r="G319" t="s">
        <v>26</v>
      </c>
      <c r="H319" s="3" t="s">
        <v>14</v>
      </c>
      <c r="I319" s="4">
        <v>0.85</v>
      </c>
      <c r="J319" s="5">
        <f>IFERROR(12-(1-I319+VLOOKUP(H319,Справка!$A$2:$B$7,2,FALSE)/100)/0.055,"")</f>
        <v>-8.8327272727272721</v>
      </c>
    </row>
    <row r="320" spans="1:10" x14ac:dyDescent="0.25">
      <c r="A320" t="s">
        <v>183</v>
      </c>
      <c r="B320">
        <v>31524</v>
      </c>
      <c r="C320">
        <v>-10251</v>
      </c>
      <c r="D320">
        <v>-4124</v>
      </c>
      <c r="E320">
        <v>-1397</v>
      </c>
      <c r="F320" s="2">
        <v>0</v>
      </c>
      <c r="G320" t="s">
        <v>108</v>
      </c>
      <c r="H320" s="6"/>
      <c r="I320" s="7"/>
      <c r="J320" s="5" t="str">
        <f>IFERROR(12-(1-I320+VLOOKUP(H320,Справка!$A$2:$B$7,2,FALSE)/100)/0.055,"")</f>
        <v/>
      </c>
    </row>
    <row r="321" spans="1:10" x14ac:dyDescent="0.25">
      <c r="A321" t="s">
        <v>357</v>
      </c>
      <c r="B321">
        <v>-47866</v>
      </c>
      <c r="C321">
        <v>91437</v>
      </c>
      <c r="D321">
        <v>-13394</v>
      </c>
      <c r="E321">
        <v>310</v>
      </c>
      <c r="F321" s="2">
        <v>0.94</v>
      </c>
      <c r="G321" t="s">
        <v>354</v>
      </c>
      <c r="H321" s="6"/>
      <c r="I321" s="7"/>
      <c r="J321" s="5" t="str">
        <f>IFERROR(12-(1-I321+VLOOKUP(H321,Справка!$A$2:$B$7,2,FALSE)/100)/0.055,"")</f>
        <v/>
      </c>
    </row>
    <row r="322" spans="1:10" x14ac:dyDescent="0.25">
      <c r="A322" t="s">
        <v>166</v>
      </c>
      <c r="B322">
        <v>-30296</v>
      </c>
      <c r="C322">
        <v>-86284</v>
      </c>
      <c r="D322">
        <v>-3117</v>
      </c>
      <c r="E322">
        <v>-4769</v>
      </c>
      <c r="F322" s="2">
        <v>0</v>
      </c>
      <c r="G322" t="s">
        <v>167</v>
      </c>
      <c r="H322" s="3" t="s">
        <v>47</v>
      </c>
      <c r="I322" s="4">
        <v>1.1499999999999999</v>
      </c>
      <c r="J322" s="5">
        <f>IFERROR(12-(1-I322+VLOOKUP(H322,Справка!$A$2:$B$7,2,FALSE)/100)/0.055,"")</f>
        <v>14.727272727272727</v>
      </c>
    </row>
    <row r="323" spans="1:10" x14ac:dyDescent="0.25">
      <c r="A323" t="s">
        <v>126</v>
      </c>
      <c r="B323">
        <v>-68047</v>
      </c>
      <c r="C323">
        <v>-51560</v>
      </c>
      <c r="D323">
        <v>463</v>
      </c>
      <c r="E323">
        <v>-1124</v>
      </c>
      <c r="F323" s="2">
        <v>0</v>
      </c>
      <c r="G323" t="s">
        <v>35</v>
      </c>
      <c r="H323" s="6"/>
      <c r="I323" s="7"/>
      <c r="J323" s="5" t="str">
        <f>IFERROR(12-(1-I323+VLOOKUP(H323,Справка!$A$2:$B$7,2,FALSE)/100)/0.055,"")</f>
        <v/>
      </c>
    </row>
    <row r="324" spans="1:10" x14ac:dyDescent="0.25">
      <c r="A324" t="s">
        <v>32</v>
      </c>
      <c r="B324">
        <v>39501</v>
      </c>
      <c r="C324">
        <v>-74990</v>
      </c>
      <c r="D324">
        <v>13422</v>
      </c>
      <c r="E324">
        <v>-1831</v>
      </c>
      <c r="F324" s="2">
        <v>0.38</v>
      </c>
      <c r="G324" t="s">
        <v>11</v>
      </c>
      <c r="H324" s="6"/>
      <c r="I324" s="7"/>
      <c r="J324" s="5" t="str">
        <f>IFERROR(12-(1-I324+VLOOKUP(H324,Справка!$A$2:$B$7,2,FALSE)/100)/0.055,"")</f>
        <v/>
      </c>
    </row>
    <row r="325" spans="1:10" x14ac:dyDescent="0.25">
      <c r="A325" t="s">
        <v>124</v>
      </c>
      <c r="B325">
        <v>-35219</v>
      </c>
      <c r="C325">
        <v>-72845</v>
      </c>
      <c r="D325">
        <v>526</v>
      </c>
      <c r="E325">
        <v>1042</v>
      </c>
      <c r="F325" s="2">
        <v>0</v>
      </c>
      <c r="G325" t="s">
        <v>35</v>
      </c>
      <c r="H325" s="6"/>
      <c r="I325" s="7"/>
      <c r="J325" s="5" t="str">
        <f>IFERROR(12-(1-I325+VLOOKUP(H325,Справка!$A$2:$B$7,2,FALSE)/100)/0.055,"")</f>
        <v/>
      </c>
    </row>
    <row r="326" spans="1:10" x14ac:dyDescent="0.25">
      <c r="A326" t="s">
        <v>18</v>
      </c>
      <c r="B326">
        <v>184396</v>
      </c>
      <c r="C326">
        <v>-113417</v>
      </c>
      <c r="D326">
        <v>17931</v>
      </c>
      <c r="E326">
        <v>4545</v>
      </c>
      <c r="F326" s="2">
        <v>0.75</v>
      </c>
      <c r="G326" t="s">
        <v>16</v>
      </c>
      <c r="H326" s="3" t="s">
        <v>19</v>
      </c>
      <c r="I326" s="4">
        <v>0.75</v>
      </c>
      <c r="J326" s="5">
        <f>IFERROR(12-(1-I326+VLOOKUP(H326,Справка!$A$2:$B$7,2,FALSE)/100)/0.055,"")</f>
        <v>-6.9327272727272735</v>
      </c>
    </row>
    <row r="327" spans="1:10" x14ac:dyDescent="0.25">
      <c r="A327" t="s">
        <v>295</v>
      </c>
      <c r="B327">
        <v>100336</v>
      </c>
      <c r="C327">
        <v>-22861</v>
      </c>
      <c r="D327">
        <v>-9321</v>
      </c>
      <c r="E327">
        <v>-1080</v>
      </c>
      <c r="F327" s="2">
        <v>0</v>
      </c>
      <c r="G327" t="s">
        <v>296</v>
      </c>
      <c r="H327" s="6"/>
      <c r="I327" s="7"/>
      <c r="J327" s="5" t="str">
        <f>IFERROR(12-(1-I327+VLOOKUP(H327,Справка!$A$2:$B$7,2,FALSE)/100)/0.055,"")</f>
        <v/>
      </c>
    </row>
    <row r="328" spans="1:10" x14ac:dyDescent="0.25">
      <c r="A328" t="s">
        <v>227</v>
      </c>
      <c r="B328">
        <v>-13759</v>
      </c>
      <c r="C328">
        <v>-8448</v>
      </c>
      <c r="D328">
        <v>-5552</v>
      </c>
      <c r="E328">
        <v>337</v>
      </c>
      <c r="F328" s="2">
        <v>0</v>
      </c>
      <c r="G328" t="s">
        <v>133</v>
      </c>
      <c r="H328" s="6"/>
      <c r="I328" s="7"/>
      <c r="J328" s="5" t="str">
        <f>IFERROR(12-(1-I328+VLOOKUP(H328,Справка!$A$2:$B$7,2,FALSE)/100)/0.055,"")</f>
        <v/>
      </c>
    </row>
    <row r="329" spans="1:10" x14ac:dyDescent="0.25">
      <c r="A329" t="s">
        <v>81</v>
      </c>
      <c r="B329">
        <v>167976</v>
      </c>
      <c r="C329">
        <v>-72409</v>
      </c>
      <c r="D329">
        <v>8430</v>
      </c>
      <c r="E329">
        <v>-633</v>
      </c>
      <c r="F329" s="2">
        <v>0</v>
      </c>
      <c r="G329" t="s">
        <v>82</v>
      </c>
      <c r="H329" s="6"/>
      <c r="I329" s="7"/>
      <c r="J329" s="5" t="str">
        <f>IFERROR(12-(1-I329+VLOOKUP(H329,Справка!$A$2:$B$7,2,FALSE)/100)/0.055,"")</f>
        <v/>
      </c>
    </row>
    <row r="330" spans="1:10" x14ac:dyDescent="0.25">
      <c r="A330" t="s">
        <v>299</v>
      </c>
      <c r="B330">
        <v>28971</v>
      </c>
      <c r="C330">
        <v>61699</v>
      </c>
      <c r="D330">
        <v>-9485</v>
      </c>
      <c r="E330">
        <v>-1756</v>
      </c>
      <c r="F330" s="2">
        <v>0.83</v>
      </c>
      <c r="G330" t="s">
        <v>176</v>
      </c>
      <c r="H330" s="6"/>
      <c r="I330" s="7"/>
      <c r="J330" s="5" t="str">
        <f>IFERROR(12-(1-I330+VLOOKUP(H330,Справка!$A$2:$B$7,2,FALSE)/100)/0.055,"")</f>
        <v/>
      </c>
    </row>
    <row r="331" spans="1:10" x14ac:dyDescent="0.25">
      <c r="A331" t="s">
        <v>175</v>
      </c>
      <c r="B331">
        <v>112486</v>
      </c>
      <c r="C331">
        <v>53761</v>
      </c>
      <c r="D331">
        <v>-3688</v>
      </c>
      <c r="E331">
        <v>-723</v>
      </c>
      <c r="F331" s="2">
        <v>0.96</v>
      </c>
      <c r="G331" t="s">
        <v>176</v>
      </c>
      <c r="H331" s="6" t="s">
        <v>14</v>
      </c>
      <c r="I331" s="4">
        <v>0.75</v>
      </c>
      <c r="J331" s="5">
        <f>IFERROR(12-(1-I331+VLOOKUP(H331,Справка!$A$2:$B$7,2,FALSE)/100)/0.055,"")</f>
        <v>-10.650909090909092</v>
      </c>
    </row>
    <row r="332" spans="1:10" x14ac:dyDescent="0.25">
      <c r="A332" t="s">
        <v>37</v>
      </c>
      <c r="B332">
        <v>33279</v>
      </c>
      <c r="C332">
        <v>-91842</v>
      </c>
      <c r="D332">
        <v>13164</v>
      </c>
      <c r="E332">
        <v>-2430</v>
      </c>
      <c r="F332" s="2">
        <v>0.51</v>
      </c>
      <c r="G332" t="s">
        <v>38</v>
      </c>
      <c r="H332" s="3" t="s">
        <v>14</v>
      </c>
      <c r="I332" s="4">
        <v>0.75</v>
      </c>
      <c r="J332" s="5">
        <f>IFERROR(12-(1-I332+VLOOKUP(H332,Справка!$A$2:$B$7,2,FALSE)/100)/0.055,"")</f>
        <v>-10.650909090909092</v>
      </c>
    </row>
    <row r="333" spans="1:10" x14ac:dyDescent="0.25">
      <c r="A333" t="s">
        <v>132</v>
      </c>
      <c r="B333">
        <v>-72571</v>
      </c>
      <c r="C333">
        <v>-24475</v>
      </c>
      <c r="D333">
        <v>-26</v>
      </c>
      <c r="E333">
        <v>2351</v>
      </c>
      <c r="F333" s="2">
        <v>0</v>
      </c>
      <c r="G333" t="s">
        <v>133</v>
      </c>
      <c r="H333" s="6"/>
      <c r="I333" s="7"/>
      <c r="J333" s="5" t="str">
        <f>IFERROR(12-(1-I333+VLOOKUP(H333,Справка!$A$2:$B$7,2,FALSE)/100)/0.055,"")</f>
        <v/>
      </c>
    </row>
    <row r="334" spans="1:10" x14ac:dyDescent="0.25">
      <c r="A334" t="s">
        <v>342</v>
      </c>
      <c r="B334">
        <v>-57034</v>
      </c>
      <c r="C334">
        <v>69662</v>
      </c>
      <c r="D334">
        <v>-12431</v>
      </c>
      <c r="E334">
        <v>465</v>
      </c>
      <c r="F334" s="2">
        <v>0.44</v>
      </c>
      <c r="G334" t="s">
        <v>343</v>
      </c>
      <c r="H334" s="6"/>
      <c r="I334" s="7"/>
      <c r="J334" s="5" t="str">
        <f>IFERROR(12-(1-I334+VLOOKUP(H334,Справка!$A$2:$B$7,2,FALSE)/100)/0.055,"")</f>
        <v/>
      </c>
    </row>
    <row r="335" spans="1:10" x14ac:dyDescent="0.25">
      <c r="A335" t="s">
        <v>289</v>
      </c>
      <c r="B335">
        <v>42939</v>
      </c>
      <c r="C335">
        <v>70896</v>
      </c>
      <c r="D335">
        <v>-8817</v>
      </c>
      <c r="E335">
        <v>-1969</v>
      </c>
      <c r="F335" s="2">
        <v>0.82</v>
      </c>
      <c r="G335" t="s">
        <v>26</v>
      </c>
      <c r="H335" s="6"/>
      <c r="I335" s="7"/>
      <c r="J335" s="5" t="str">
        <f>IFERROR(12-(1-I335+VLOOKUP(H335,Справка!$A$2:$B$7,2,FALSE)/100)/0.055,"")</f>
        <v/>
      </c>
    </row>
    <row r="336" spans="1:10" x14ac:dyDescent="0.25">
      <c r="A336" t="s">
        <v>221</v>
      </c>
      <c r="B336">
        <v>-112292</v>
      </c>
      <c r="C336">
        <v>114083</v>
      </c>
      <c r="D336">
        <v>-5402</v>
      </c>
      <c r="E336">
        <v>3537</v>
      </c>
      <c r="F336" s="2">
        <v>0.73</v>
      </c>
      <c r="G336" t="s">
        <v>38</v>
      </c>
      <c r="H336" s="6"/>
      <c r="I336" s="7"/>
      <c r="J336" s="5" t="str">
        <f>IFERROR(12-(1-I336+VLOOKUP(H336,Справка!$A$2:$B$7,2,FALSE)/100)/0.055,"")</f>
        <v/>
      </c>
    </row>
    <row r="337" spans="1:10" x14ac:dyDescent="0.25">
      <c r="A337" t="s">
        <v>303</v>
      </c>
      <c r="B337">
        <v>10241</v>
      </c>
      <c r="C337">
        <v>71188</v>
      </c>
      <c r="D337">
        <v>-9648</v>
      </c>
      <c r="E337">
        <v>-1159</v>
      </c>
      <c r="F337" s="2">
        <v>0.76</v>
      </c>
      <c r="G337" t="s">
        <v>26</v>
      </c>
      <c r="H337" s="6"/>
      <c r="I337" s="7"/>
      <c r="J337" s="5" t="str">
        <f>IFERROR(12-(1-I337+VLOOKUP(H337,Справка!$A$2:$B$7,2,FALSE)/100)/0.055,"")</f>
        <v/>
      </c>
    </row>
    <row r="338" spans="1:10" x14ac:dyDescent="0.25">
      <c r="A338" t="s">
        <v>341</v>
      </c>
      <c r="B338">
        <v>-92574</v>
      </c>
      <c r="C338">
        <v>89629</v>
      </c>
      <c r="D338">
        <v>-12347</v>
      </c>
      <c r="E338">
        <v>-1656</v>
      </c>
      <c r="F338" s="2">
        <v>0</v>
      </c>
      <c r="G338" t="s">
        <v>108</v>
      </c>
      <c r="H338" s="6"/>
      <c r="I338" s="7"/>
      <c r="J338" s="5" t="str">
        <f>IFERROR(12-(1-I338+VLOOKUP(H338,Справка!$A$2:$B$7,2,FALSE)/100)/0.055,"")</f>
        <v/>
      </c>
    </row>
    <row r="339" spans="1:10" x14ac:dyDescent="0.25">
      <c r="A339" t="s">
        <v>272</v>
      </c>
      <c r="B339">
        <v>-137142</v>
      </c>
      <c r="C339">
        <v>55392</v>
      </c>
      <c r="D339">
        <v>-8051</v>
      </c>
      <c r="E339">
        <v>-1776</v>
      </c>
      <c r="F339" s="2">
        <v>0</v>
      </c>
      <c r="G339" t="s">
        <v>89</v>
      </c>
      <c r="H339" s="6"/>
      <c r="I339" s="7"/>
      <c r="J339" s="5" t="str">
        <f>IFERROR(12-(1-I339+VLOOKUP(H339,Справка!$A$2:$B$7,2,FALSE)/100)/0.055,"")</f>
        <v/>
      </c>
    </row>
    <row r="340" spans="1:10" x14ac:dyDescent="0.25">
      <c r="A340" t="s">
        <v>83</v>
      </c>
      <c r="B340">
        <v>18350</v>
      </c>
      <c r="C340">
        <v>-79481</v>
      </c>
      <c r="D340">
        <v>8416</v>
      </c>
      <c r="E340">
        <v>-1386</v>
      </c>
      <c r="F340" s="2">
        <v>0.31</v>
      </c>
      <c r="G340" t="s">
        <v>35</v>
      </c>
      <c r="H340" s="3" t="s">
        <v>17</v>
      </c>
      <c r="I340" s="4">
        <v>0.75</v>
      </c>
      <c r="J340" s="5">
        <f>IFERROR(12-(1-I340+VLOOKUP(H340,Справка!$A$2:$B$7,2,FALSE)/100)/0.055,"")</f>
        <v>-3.2145454545454548</v>
      </c>
    </row>
    <row r="341" spans="1:10" x14ac:dyDescent="0.25">
      <c r="A341" t="s">
        <v>251</v>
      </c>
      <c r="B341">
        <v>31439</v>
      </c>
      <c r="C341">
        <v>38616</v>
      </c>
      <c r="D341">
        <v>-6937</v>
      </c>
      <c r="E341">
        <v>-885</v>
      </c>
      <c r="F341" s="2">
        <v>0.8</v>
      </c>
      <c r="G341" t="s">
        <v>26</v>
      </c>
      <c r="H341" s="6"/>
      <c r="I341" s="7"/>
      <c r="J341" s="5" t="str">
        <f>IFERROR(12-(1-I341+VLOOKUP(H341,Справка!$A$2:$B$7,2,FALSE)/100)/0.055,"")</f>
        <v/>
      </c>
    </row>
    <row r="342" spans="1:10" x14ac:dyDescent="0.25">
      <c r="A342" t="s">
        <v>340</v>
      </c>
      <c r="B342">
        <v>-71486</v>
      </c>
      <c r="C342">
        <v>44119</v>
      </c>
      <c r="D342">
        <v>-12283</v>
      </c>
      <c r="E342">
        <v>-2526</v>
      </c>
      <c r="F342" s="2">
        <v>0</v>
      </c>
      <c r="G342" t="s">
        <v>108</v>
      </c>
      <c r="H342" s="6"/>
      <c r="I342" s="7"/>
      <c r="J342" s="5" t="str">
        <f>IFERROR(12-(1-I342+VLOOKUP(H342,Справка!$A$2:$B$7,2,FALSE)/100)/0.055,"")</f>
        <v/>
      </c>
    </row>
    <row r="343" spans="1:10" x14ac:dyDescent="0.25">
      <c r="A343" t="s">
        <v>72</v>
      </c>
      <c r="B343">
        <v>71488</v>
      </c>
      <c r="C343">
        <v>-84160</v>
      </c>
      <c r="D343">
        <v>10368</v>
      </c>
      <c r="E343">
        <v>-4706</v>
      </c>
      <c r="F343" s="2">
        <v>0.16</v>
      </c>
      <c r="G343" t="s">
        <v>16</v>
      </c>
      <c r="H343" s="6"/>
      <c r="I343" s="7"/>
      <c r="J343" s="5" t="str">
        <f>IFERROR(12-(1-I343+VLOOKUP(H343,Справка!$A$2:$B$7,2,FALSE)/100)/0.055,"")</f>
        <v/>
      </c>
    </row>
    <row r="344" spans="1:10" x14ac:dyDescent="0.25">
      <c r="A344" t="s">
        <v>105</v>
      </c>
      <c r="B344">
        <v>668</v>
      </c>
      <c r="C344">
        <v>-52576</v>
      </c>
      <c r="D344">
        <v>1728</v>
      </c>
      <c r="E344">
        <v>-1333</v>
      </c>
      <c r="F344" s="2">
        <v>0.05</v>
      </c>
      <c r="G344" t="s">
        <v>35</v>
      </c>
      <c r="H344" s="6"/>
      <c r="I344" s="7"/>
      <c r="J344" s="5" t="str">
        <f>IFERROR(12-(1-I344+VLOOKUP(H344,Справка!$A$2:$B$7,2,FALSE)/100)/0.055,"")</f>
        <v/>
      </c>
    </row>
    <row r="345" spans="1:10" x14ac:dyDescent="0.25">
      <c r="A345" t="s">
        <v>178</v>
      </c>
      <c r="B345">
        <v>-91152</v>
      </c>
      <c r="C345">
        <v>17542</v>
      </c>
      <c r="D345">
        <v>-3784</v>
      </c>
      <c r="E345">
        <v>-188</v>
      </c>
      <c r="F345" s="2">
        <v>0</v>
      </c>
      <c r="G345" t="s">
        <v>108</v>
      </c>
      <c r="H345" s="6"/>
      <c r="I345" s="7"/>
      <c r="J345" s="5" t="str">
        <f>IFERROR(12-(1-I345+VLOOKUP(H345,Справка!$A$2:$B$7,2,FALSE)/100)/0.055,"")</f>
        <v/>
      </c>
    </row>
    <row r="346" spans="1:10" x14ac:dyDescent="0.25">
      <c r="A346" t="s">
        <v>346</v>
      </c>
      <c r="B346">
        <v>-72132</v>
      </c>
      <c r="C346">
        <v>76174</v>
      </c>
      <c r="D346">
        <v>-12666</v>
      </c>
      <c r="E346">
        <v>-43</v>
      </c>
      <c r="F346" s="2">
        <v>0</v>
      </c>
      <c r="G346" t="s">
        <v>108</v>
      </c>
      <c r="H346" s="6"/>
      <c r="I346" s="7"/>
      <c r="J346" s="5" t="str">
        <f>IFERROR(12-(1-I346+VLOOKUP(H346,Справка!$A$2:$B$7,2,FALSE)/100)/0.055,"")</f>
        <v/>
      </c>
    </row>
    <row r="347" spans="1:10" x14ac:dyDescent="0.25">
      <c r="A347" t="s">
        <v>15</v>
      </c>
      <c r="B347">
        <v>95860</v>
      </c>
      <c r="C347">
        <v>-101621</v>
      </c>
      <c r="D347">
        <v>18735</v>
      </c>
      <c r="E347">
        <v>-408</v>
      </c>
      <c r="F347" s="2">
        <v>0.19</v>
      </c>
      <c r="G347" t="s">
        <v>16</v>
      </c>
      <c r="H347" s="3" t="s">
        <v>17</v>
      </c>
      <c r="I347" s="4">
        <v>0.75</v>
      </c>
      <c r="J347" s="5">
        <f>IFERROR(12-(1-I347+VLOOKUP(H347,Справка!$A$2:$B$7,2,FALSE)/100)/0.055,"")</f>
        <v>-3.2145454545454548</v>
      </c>
    </row>
    <row r="348" spans="1:10" x14ac:dyDescent="0.25">
      <c r="A348" t="s">
        <v>28</v>
      </c>
      <c r="B348">
        <v>-1541</v>
      </c>
      <c r="C348">
        <v>-99093</v>
      </c>
      <c r="D348">
        <v>15066</v>
      </c>
      <c r="E348">
        <v>1791</v>
      </c>
      <c r="F348" s="2">
        <v>0.87</v>
      </c>
      <c r="G348" t="s">
        <v>11</v>
      </c>
      <c r="H348" s="3" t="s">
        <v>12</v>
      </c>
      <c r="I348" s="4">
        <v>0.75</v>
      </c>
      <c r="J348" s="5">
        <f>IFERROR(12-(1-I348+VLOOKUP(H348,Справка!$A$2:$B$7,2,FALSE)/100)/0.055,"")</f>
        <v>-18.087272727272723</v>
      </c>
    </row>
    <row r="349" spans="1:10" x14ac:dyDescent="0.25">
      <c r="A349" t="s">
        <v>252</v>
      </c>
      <c r="B349">
        <v>40560</v>
      </c>
      <c r="C349">
        <v>101184</v>
      </c>
      <c r="D349">
        <v>-6964</v>
      </c>
      <c r="E349">
        <v>3713</v>
      </c>
      <c r="F349" s="2">
        <v>0.93</v>
      </c>
      <c r="G349" t="s">
        <v>26</v>
      </c>
      <c r="H349" s="6"/>
      <c r="I349" s="7"/>
      <c r="J349" s="5" t="str">
        <f>IFERROR(12-(1-I349+VLOOKUP(H349,Справка!$A$2:$B$7,2,FALSE)/100)/0.055,"")</f>
        <v/>
      </c>
    </row>
    <row r="350" spans="1:10" x14ac:dyDescent="0.25">
      <c r="A350" t="s">
        <v>97</v>
      </c>
      <c r="B350">
        <v>-70131</v>
      </c>
      <c r="C350">
        <v>-66861</v>
      </c>
      <c r="D350">
        <v>2774</v>
      </c>
      <c r="E350">
        <v>-1065</v>
      </c>
      <c r="F350" s="2">
        <v>0</v>
      </c>
      <c r="G350" t="s">
        <v>35</v>
      </c>
      <c r="H350" s="6"/>
      <c r="I350" s="7"/>
      <c r="J350" s="5" t="str">
        <f>IFERROR(12-(1-I350+VLOOKUP(H350,Справка!$A$2:$B$7,2,FALSE)/100)/0.055,"")</f>
        <v/>
      </c>
    </row>
    <row r="351" spans="1:10" x14ac:dyDescent="0.25">
      <c r="A351" t="s">
        <v>372</v>
      </c>
      <c r="B351">
        <v>-19540</v>
      </c>
      <c r="C351">
        <v>79464</v>
      </c>
      <c r="D351">
        <v>-13852</v>
      </c>
      <c r="E351">
        <v>-1189</v>
      </c>
      <c r="F351" s="2">
        <v>0.24</v>
      </c>
      <c r="G351" t="s">
        <v>354</v>
      </c>
      <c r="H351" s="6"/>
      <c r="I351" s="7"/>
      <c r="J351" s="5" t="str">
        <f>IFERROR(12-(1-I351+VLOOKUP(H351,Справка!$A$2:$B$7,2,FALSE)/100)/0.055,"")</f>
        <v/>
      </c>
    </row>
    <row r="352" spans="1:10" x14ac:dyDescent="0.25">
      <c r="A352" t="s">
        <v>350</v>
      </c>
      <c r="B352">
        <v>-10858</v>
      </c>
      <c r="C352">
        <v>84545</v>
      </c>
      <c r="D352">
        <v>-12789</v>
      </c>
      <c r="E352">
        <v>-821</v>
      </c>
      <c r="F352" s="2">
        <v>0.94</v>
      </c>
      <c r="G352" t="s">
        <v>26</v>
      </c>
      <c r="H352" s="6"/>
      <c r="I352" s="7"/>
      <c r="J352" s="5" t="str">
        <f>IFERROR(12-(1-I352+VLOOKUP(H352,Справка!$A$2:$B$7,2,FALSE)/100)/0.055,"")</f>
        <v/>
      </c>
    </row>
    <row r="353" spans="1:10" x14ac:dyDescent="0.25">
      <c r="A353" t="s">
        <v>188</v>
      </c>
      <c r="B353">
        <v>161866</v>
      </c>
      <c r="C353">
        <v>26718</v>
      </c>
      <c r="D353">
        <v>-4323</v>
      </c>
      <c r="E353">
        <v>1279</v>
      </c>
      <c r="F353" s="2">
        <v>0.93</v>
      </c>
      <c r="G353" t="s">
        <v>189</v>
      </c>
      <c r="H353" s="6"/>
      <c r="I353" s="7"/>
      <c r="J353" s="5" t="str">
        <f>IFERROR(12-(1-I353+VLOOKUP(H353,Справка!$A$2:$B$7,2,FALSE)/100)/0.055,"")</f>
        <v/>
      </c>
    </row>
    <row r="354" spans="1:10" x14ac:dyDescent="0.25">
      <c r="A354" t="s">
        <v>305</v>
      </c>
      <c r="B354">
        <v>120428</v>
      </c>
      <c r="C354">
        <v>-33954</v>
      </c>
      <c r="D354">
        <v>-9784</v>
      </c>
      <c r="E354">
        <v>-2922</v>
      </c>
      <c r="F354" s="2">
        <v>0</v>
      </c>
      <c r="G354" t="s">
        <v>271</v>
      </c>
      <c r="H354" s="6"/>
      <c r="I354" s="7"/>
      <c r="J354" s="5" t="str">
        <f>IFERROR(12-(1-I354+VLOOKUP(H354,Справка!$A$2:$B$7,2,FALSE)/100)/0.055,"")</f>
        <v/>
      </c>
    </row>
    <row r="355" spans="1:10" x14ac:dyDescent="0.25">
      <c r="A355" t="s">
        <v>253</v>
      </c>
      <c r="B355">
        <v>113334</v>
      </c>
      <c r="C355">
        <v>-46458</v>
      </c>
      <c r="D355">
        <v>-7018</v>
      </c>
      <c r="E355">
        <v>-7376</v>
      </c>
      <c r="F355" s="2">
        <v>0</v>
      </c>
      <c r="G355" t="s">
        <v>35</v>
      </c>
      <c r="H355" s="6"/>
      <c r="I355" s="7"/>
      <c r="J355" s="5" t="str">
        <f>IFERROR(12-(1-I355+VLOOKUP(H355,Справка!$A$2:$B$7,2,FALSE)/100)/0.055,"")</f>
        <v/>
      </c>
    </row>
    <row r="356" spans="1:10" x14ac:dyDescent="0.25">
      <c r="A356" t="s">
        <v>79</v>
      </c>
      <c r="B356">
        <v>133093</v>
      </c>
      <c r="C356">
        <v>-54772</v>
      </c>
      <c r="D356">
        <v>8740</v>
      </c>
      <c r="E356">
        <v>3060</v>
      </c>
      <c r="F356" s="2">
        <v>0</v>
      </c>
      <c r="G356" t="s">
        <v>35</v>
      </c>
      <c r="H356" s="6"/>
      <c r="I356" s="7"/>
      <c r="J356" s="5" t="str">
        <f>IFERROR(12-(1-I356+VLOOKUP(H356,Справка!$A$2:$B$7,2,FALSE)/100)/0.055,"")</f>
        <v/>
      </c>
    </row>
    <row r="357" spans="1:10" x14ac:dyDescent="0.25">
      <c r="A357" t="s">
        <v>121</v>
      </c>
      <c r="B357">
        <v>-158278</v>
      </c>
      <c r="C357">
        <v>-20198</v>
      </c>
      <c r="D357">
        <v>770</v>
      </c>
      <c r="E357">
        <v>-747</v>
      </c>
      <c r="F357" s="2">
        <v>0</v>
      </c>
      <c r="G357" t="s">
        <v>89</v>
      </c>
      <c r="H357" s="6"/>
      <c r="I357" s="7"/>
      <c r="J357" s="5" t="str">
        <f>IFERROR(12-(1-I357+VLOOKUP(H357,Справка!$A$2:$B$7,2,FALSE)/100)/0.055,"")</f>
        <v/>
      </c>
    </row>
    <row r="358" spans="1:10" x14ac:dyDescent="0.25">
      <c r="A358" t="s">
        <v>237</v>
      </c>
      <c r="B358">
        <v>-148569</v>
      </c>
      <c r="C358">
        <v>14192</v>
      </c>
      <c r="D358">
        <v>-6117</v>
      </c>
      <c r="E358">
        <v>-1567</v>
      </c>
      <c r="F358" s="2">
        <v>0</v>
      </c>
      <c r="G358" t="s">
        <v>89</v>
      </c>
      <c r="H358" s="6"/>
      <c r="I358" s="7"/>
      <c r="J358" s="5" t="str">
        <f>IFERROR(12-(1-I358+VLOOKUP(H358,Справка!$A$2:$B$7,2,FALSE)/100)/0.055,"")</f>
        <v/>
      </c>
    </row>
    <row r="359" spans="1:10" x14ac:dyDescent="0.25">
      <c r="A359" t="s">
        <v>196</v>
      </c>
      <c r="B359">
        <v>-165486</v>
      </c>
      <c r="C359">
        <v>-314</v>
      </c>
      <c r="D359">
        <v>-4399</v>
      </c>
      <c r="E359">
        <v>-4430</v>
      </c>
      <c r="F359" s="2">
        <v>0</v>
      </c>
      <c r="G359" t="s">
        <v>89</v>
      </c>
      <c r="H359" s="6"/>
      <c r="I359" s="7"/>
      <c r="J359" s="5" t="str">
        <f>IFERROR(12-(1-I359+VLOOKUP(H359,Справка!$A$2:$B$7,2,FALSE)/100)/0.055,"")</f>
        <v/>
      </c>
    </row>
    <row r="360" spans="1:10" x14ac:dyDescent="0.25">
      <c r="A360" t="s">
        <v>86</v>
      </c>
      <c r="B360">
        <v>197183</v>
      </c>
      <c r="C360">
        <v>-90007</v>
      </c>
      <c r="D360">
        <v>7549</v>
      </c>
      <c r="E360">
        <v>-5410</v>
      </c>
      <c r="F360" s="2">
        <v>7.0000000000000007E-2</v>
      </c>
      <c r="G360" t="s">
        <v>16</v>
      </c>
      <c r="H360" s="6"/>
      <c r="I360" s="7"/>
      <c r="J360" s="5" t="str">
        <f>IFERROR(12-(1-I360+VLOOKUP(H360,Справка!$A$2:$B$7,2,FALSE)/100)/0.055,"")</f>
        <v/>
      </c>
    </row>
    <row r="361" spans="1:10" x14ac:dyDescent="0.25">
      <c r="A361" t="s">
        <v>94</v>
      </c>
      <c r="B361">
        <v>151221</v>
      </c>
      <c r="C361">
        <v>-45275</v>
      </c>
      <c r="D361">
        <v>3602</v>
      </c>
      <c r="E361">
        <v>80</v>
      </c>
      <c r="F361" s="2">
        <v>0</v>
      </c>
      <c r="G361" t="s">
        <v>35</v>
      </c>
      <c r="H361" s="6"/>
      <c r="I361" s="7"/>
      <c r="J361" s="5" t="str">
        <f>IFERROR(12-(1-I361+VLOOKUP(H361,Справка!$A$2:$B$7,2,FALSE)/100)/0.055,"")</f>
        <v/>
      </c>
    </row>
    <row r="362" spans="1:10" x14ac:dyDescent="0.25">
      <c r="A362" t="s">
        <v>91</v>
      </c>
      <c r="B362">
        <v>116397</v>
      </c>
      <c r="C362">
        <v>-55510</v>
      </c>
      <c r="D362">
        <v>5525</v>
      </c>
      <c r="E362">
        <v>930</v>
      </c>
      <c r="F362" s="2">
        <v>0</v>
      </c>
      <c r="G362" t="s">
        <v>16</v>
      </c>
      <c r="H362" s="6"/>
      <c r="I362" s="7"/>
      <c r="J362" s="5" t="str">
        <f>IFERROR(12-(1-I362+VLOOKUP(H362,Справка!$A$2:$B$7,2,FALSE)/100)/0.055,"")</f>
        <v/>
      </c>
    </row>
    <row r="363" spans="1:10" x14ac:dyDescent="0.25">
      <c r="A363" t="s">
        <v>64</v>
      </c>
      <c r="B363">
        <v>21065</v>
      </c>
      <c r="C363">
        <v>-69235</v>
      </c>
      <c r="D363">
        <v>10884</v>
      </c>
      <c r="E363">
        <v>2674</v>
      </c>
      <c r="F363" s="2">
        <v>0.91</v>
      </c>
      <c r="G363" t="s">
        <v>35</v>
      </c>
      <c r="H363" s="6"/>
      <c r="I363" s="7"/>
      <c r="J363" s="5" t="str">
        <f>IFERROR(12-(1-I363+VLOOKUP(H363,Справка!$A$2:$B$7,2,FALSE)/100)/0.055,"")</f>
        <v/>
      </c>
    </row>
    <row r="364" spans="1:10" x14ac:dyDescent="0.25">
      <c r="A364" t="s">
        <v>20</v>
      </c>
      <c r="B364">
        <v>31992</v>
      </c>
      <c r="C364">
        <v>-105984</v>
      </c>
      <c r="D364">
        <v>16681</v>
      </c>
      <c r="E364">
        <v>-896</v>
      </c>
      <c r="F364" s="2">
        <v>0.84</v>
      </c>
      <c r="G364" t="s">
        <v>11</v>
      </c>
      <c r="H364" s="6"/>
      <c r="I364" s="7"/>
      <c r="J364" s="5" t="str">
        <f>IFERROR(12-(1-I364+VLOOKUP(H364,Справка!$A$2:$B$7,2,FALSE)/100)/0.055,"")</f>
        <v/>
      </c>
    </row>
    <row r="365" spans="1:10" x14ac:dyDescent="0.25">
      <c r="A365" t="s">
        <v>111</v>
      </c>
      <c r="B365">
        <v>-24357</v>
      </c>
      <c r="C365">
        <v>-77668</v>
      </c>
      <c r="D365">
        <v>1457</v>
      </c>
      <c r="E365">
        <v>764</v>
      </c>
      <c r="F365" s="2">
        <v>0.18</v>
      </c>
      <c r="G365" t="s">
        <v>35</v>
      </c>
      <c r="H365" s="6"/>
      <c r="I365" s="7"/>
      <c r="J365" s="5" t="str">
        <f>IFERROR(12-(1-I365+VLOOKUP(H365,Справка!$A$2:$B$7,2,FALSE)/100)/0.055,"")</f>
        <v/>
      </c>
    </row>
    <row r="366" spans="1:10" x14ac:dyDescent="0.25">
      <c r="A366" t="s">
        <v>106</v>
      </c>
      <c r="B366">
        <v>-19773</v>
      </c>
      <c r="C366">
        <v>-50327</v>
      </c>
      <c r="D366">
        <v>1559</v>
      </c>
      <c r="E366">
        <v>-96</v>
      </c>
      <c r="F366" s="2">
        <v>0.24</v>
      </c>
      <c r="G366" t="s">
        <v>35</v>
      </c>
      <c r="H366" s="6"/>
      <c r="I366" s="7"/>
      <c r="J366" s="5" t="str">
        <f>IFERROR(12-(1-I366+VLOOKUP(H366,Справка!$A$2:$B$7,2,FALSE)/100)/0.055,"")</f>
        <v/>
      </c>
    </row>
    <row r="367" spans="1:10" x14ac:dyDescent="0.25">
      <c r="A367" t="s">
        <v>156</v>
      </c>
      <c r="B367">
        <v>-47526</v>
      </c>
      <c r="C367">
        <v>32110</v>
      </c>
      <c r="D367">
        <v>-1835</v>
      </c>
      <c r="E367">
        <v>3667</v>
      </c>
      <c r="F367" s="2">
        <v>0.56999999999999995</v>
      </c>
      <c r="G367" t="s">
        <v>26</v>
      </c>
      <c r="H367" s="6"/>
      <c r="I367" s="7"/>
      <c r="J367" s="5" t="str">
        <f>IFERROR(12-(1-I367+VLOOKUP(H367,Справка!$A$2:$B$7,2,FALSE)/100)/0.055,"")</f>
        <v/>
      </c>
    </row>
  </sheetData>
  <autoFilter ref="A1:J367" xr:uid="{00000000-0009-0000-0000-000000000000}">
    <sortState xmlns:xlrd2="http://schemas.microsoft.com/office/spreadsheetml/2017/richdata2" ref="A2:J367">
      <sortCondition ref="A1:A367"/>
    </sortState>
  </autoFilter>
  <dataValidations count="1">
    <dataValidation type="decimal" allowBlank="1" sqref="I2:I367" xr:uid="{00000000-0002-0000-0000-000001000000}">
      <formula1>0</formula1>
      <formula2>3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Справка!$A$2:$A$7</xm:f>
          </x14:formula1>
          <xm:sqref>H2:H367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4" width="9" customWidth="1"/>
    <col min="5" max="5" width="11" customWidth="1"/>
    <col min="6" max="6" width="7" customWidth="1"/>
    <col min="7" max="7" width="15" customWidth="1"/>
    <col min="8" max="8" width="21" customWidth="1"/>
    <col min="9" max="9" width="12" customWidth="1"/>
    <col min="10" max="10" width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399</v>
      </c>
      <c r="B2">
        <v>43062</v>
      </c>
      <c r="C2">
        <v>68108</v>
      </c>
      <c r="D2">
        <v>12387</v>
      </c>
      <c r="E2">
        <v>4902</v>
      </c>
      <c r="F2" s="2">
        <v>1</v>
      </c>
      <c r="G2" t="s">
        <v>400</v>
      </c>
      <c r="H2" s="3" t="s">
        <v>12</v>
      </c>
      <c r="I2" s="4">
        <v>0.3</v>
      </c>
      <c r="J2" s="5">
        <f>IFERROR(12-(1-I2+VLOOKUP(H2,Справка!$A$2:$B$7,2,FALSE)/100)/0.055,"")</f>
        <v>-26.269090909090906</v>
      </c>
    </row>
    <row r="3" spans="1:10" x14ac:dyDescent="0.25">
      <c r="A3" t="s">
        <v>401</v>
      </c>
      <c r="B3">
        <v>42318</v>
      </c>
      <c r="C3">
        <v>64114</v>
      </c>
      <c r="D3">
        <v>12265</v>
      </c>
      <c r="E3">
        <v>5049</v>
      </c>
      <c r="F3" s="2">
        <v>0.84</v>
      </c>
      <c r="G3" t="s">
        <v>400</v>
      </c>
      <c r="H3" s="6"/>
      <c r="I3" s="7"/>
      <c r="J3" s="5" t="str">
        <f>IFERROR(12-(1-I3+VLOOKUP(H3,Справка!$A$2:$B$7,2,FALSE)/100)/0.055,"")</f>
        <v/>
      </c>
    </row>
    <row r="4" spans="1:10" x14ac:dyDescent="0.25">
      <c r="A4" t="s">
        <v>402</v>
      </c>
      <c r="B4">
        <v>40331</v>
      </c>
      <c r="C4">
        <v>82291</v>
      </c>
      <c r="D4">
        <v>10342</v>
      </c>
      <c r="E4">
        <v>5736</v>
      </c>
      <c r="F4" s="2">
        <v>0.96</v>
      </c>
      <c r="G4" t="s">
        <v>403</v>
      </c>
      <c r="H4" s="6"/>
      <c r="I4" s="7"/>
      <c r="J4" s="5" t="str">
        <f>IFERROR(12-(1-I4+VLOOKUP(H4,Справка!$A$2:$B$7,2,FALSE)/100)/0.055,"")</f>
        <v/>
      </c>
    </row>
    <row r="5" spans="1:10" x14ac:dyDescent="0.25">
      <c r="A5" t="s">
        <v>404</v>
      </c>
      <c r="B5">
        <v>43520</v>
      </c>
      <c r="C5">
        <v>75284</v>
      </c>
      <c r="D5">
        <v>9649</v>
      </c>
      <c r="E5">
        <v>2701</v>
      </c>
      <c r="F5" s="2">
        <v>1</v>
      </c>
      <c r="G5" t="s">
        <v>403</v>
      </c>
      <c r="H5" s="6"/>
      <c r="I5" s="7"/>
      <c r="J5" s="5" t="str">
        <f>IFERROR(12-(1-I5+VLOOKUP(H5,Справка!$A$2:$B$7,2,FALSE)/100)/0.055,"")</f>
        <v/>
      </c>
    </row>
    <row r="6" spans="1:10" x14ac:dyDescent="0.25">
      <c r="A6" t="s">
        <v>405</v>
      </c>
      <c r="B6">
        <v>56313</v>
      </c>
      <c r="C6">
        <v>59653</v>
      </c>
      <c r="D6">
        <v>9132</v>
      </c>
      <c r="E6">
        <v>2825</v>
      </c>
      <c r="F6" s="2">
        <v>0.86</v>
      </c>
      <c r="G6" t="s">
        <v>403</v>
      </c>
      <c r="H6" s="6"/>
      <c r="I6" s="7"/>
      <c r="J6" s="5" t="str">
        <f>IFERROR(12-(1-I6+VLOOKUP(H6,Справка!$A$2:$B$7,2,FALSE)/100)/0.055,"")</f>
        <v/>
      </c>
    </row>
    <row r="7" spans="1:10" x14ac:dyDescent="0.25">
      <c r="A7" t="s">
        <v>406</v>
      </c>
      <c r="B7">
        <v>33517</v>
      </c>
      <c r="C7">
        <v>82146</v>
      </c>
      <c r="D7">
        <v>8902</v>
      </c>
      <c r="E7">
        <v>4661</v>
      </c>
      <c r="F7" s="2">
        <v>1</v>
      </c>
      <c r="G7" t="s">
        <v>403</v>
      </c>
      <c r="H7" s="6"/>
      <c r="I7" s="7"/>
      <c r="J7" s="5" t="str">
        <f>IFERROR(12-(1-I7+VLOOKUP(H7,Справка!$A$2:$B$7,2,FALSE)/100)/0.055,"")</f>
        <v/>
      </c>
    </row>
    <row r="8" spans="1:10" x14ac:dyDescent="0.25">
      <c r="A8" t="s">
        <v>407</v>
      </c>
      <c r="B8">
        <v>50727</v>
      </c>
      <c r="C8">
        <v>69890</v>
      </c>
      <c r="D8">
        <v>8800</v>
      </c>
      <c r="E8">
        <v>2120</v>
      </c>
      <c r="F8" s="2">
        <v>0.63</v>
      </c>
      <c r="G8" t="s">
        <v>400</v>
      </c>
      <c r="H8" s="6"/>
      <c r="I8" s="7"/>
      <c r="J8" s="5" t="str">
        <f>IFERROR(12-(1-I8+VLOOKUP(H8,Справка!$A$2:$B$7,2,FALSE)/100)/0.055,"")</f>
        <v/>
      </c>
    </row>
    <row r="9" spans="1:10" x14ac:dyDescent="0.25">
      <c r="A9" t="s">
        <v>408</v>
      </c>
      <c r="B9">
        <v>33692</v>
      </c>
      <c r="C9">
        <v>76147</v>
      </c>
      <c r="D9">
        <v>8536</v>
      </c>
      <c r="E9">
        <v>2204</v>
      </c>
      <c r="F9" s="2">
        <v>0.91</v>
      </c>
      <c r="G9" t="s">
        <v>403</v>
      </c>
      <c r="H9" s="6"/>
      <c r="I9" s="7"/>
      <c r="J9" s="5" t="str">
        <f>IFERROR(12-(1-I9+VLOOKUP(H9,Справка!$A$2:$B$7,2,FALSE)/100)/0.055,"")</f>
        <v/>
      </c>
    </row>
    <row r="10" spans="1:10" x14ac:dyDescent="0.25">
      <c r="A10" t="s">
        <v>409</v>
      </c>
      <c r="B10">
        <v>30921</v>
      </c>
      <c r="C10">
        <v>65460</v>
      </c>
      <c r="D10">
        <v>8228</v>
      </c>
      <c r="E10">
        <v>3033</v>
      </c>
      <c r="F10" s="2">
        <v>0.98</v>
      </c>
      <c r="G10" t="s">
        <v>400</v>
      </c>
      <c r="H10" s="6"/>
      <c r="I10" s="7"/>
      <c r="J10" s="5" t="str">
        <f>IFERROR(12-(1-I10+VLOOKUP(H10,Справка!$A$2:$B$7,2,FALSE)/100)/0.055,"")</f>
        <v/>
      </c>
    </row>
    <row r="11" spans="1:10" x14ac:dyDescent="0.25">
      <c r="A11" t="s">
        <v>410</v>
      </c>
      <c r="B11">
        <v>48814</v>
      </c>
      <c r="C11">
        <v>80247</v>
      </c>
      <c r="D11">
        <v>7988</v>
      </c>
      <c r="E11">
        <v>2436</v>
      </c>
      <c r="F11" s="2">
        <v>0.98</v>
      </c>
      <c r="G11" t="s">
        <v>403</v>
      </c>
      <c r="H11" s="6"/>
      <c r="I11" s="7"/>
      <c r="J11" s="5" t="str">
        <f>IFERROR(12-(1-I11+VLOOKUP(H11,Справка!$A$2:$B$7,2,FALSE)/100)/0.055,"")</f>
        <v/>
      </c>
    </row>
    <row r="12" spans="1:10" x14ac:dyDescent="0.25">
      <c r="A12" t="s">
        <v>411</v>
      </c>
      <c r="B12">
        <v>32748</v>
      </c>
      <c r="C12">
        <v>53603</v>
      </c>
      <c r="D12">
        <v>7978</v>
      </c>
      <c r="E12">
        <v>3847</v>
      </c>
      <c r="F12" s="2">
        <v>0.88</v>
      </c>
      <c r="G12" t="s">
        <v>400</v>
      </c>
      <c r="H12" s="6"/>
      <c r="I12" s="7"/>
      <c r="J12" s="5" t="str">
        <f>IFERROR(12-(1-I12+VLOOKUP(H12,Справка!$A$2:$B$7,2,FALSE)/100)/0.055,"")</f>
        <v/>
      </c>
    </row>
    <row r="13" spans="1:10" x14ac:dyDescent="0.25">
      <c r="A13" t="s">
        <v>412</v>
      </c>
      <c r="B13">
        <v>42884</v>
      </c>
      <c r="C13">
        <v>83949</v>
      </c>
      <c r="D13">
        <v>7680</v>
      </c>
      <c r="E13">
        <v>3077</v>
      </c>
      <c r="F13" s="2">
        <v>1</v>
      </c>
      <c r="G13" t="s">
        <v>403</v>
      </c>
      <c r="H13" s="3" t="s">
        <v>12</v>
      </c>
      <c r="I13" s="4">
        <v>0.5</v>
      </c>
      <c r="J13" s="5">
        <f>IFERROR(12-(1-I13+VLOOKUP(H13,Справка!$A$2:$B$7,2,FALSE)/100)/0.055,"")</f>
        <v>-22.632727272727273</v>
      </c>
    </row>
    <row r="14" spans="1:10" x14ac:dyDescent="0.25">
      <c r="A14" t="s">
        <v>413</v>
      </c>
      <c r="B14">
        <v>29071</v>
      </c>
      <c r="C14">
        <v>78772</v>
      </c>
      <c r="D14">
        <v>7464</v>
      </c>
      <c r="E14">
        <v>2899</v>
      </c>
      <c r="F14" s="2">
        <v>1</v>
      </c>
      <c r="G14" t="s">
        <v>400</v>
      </c>
      <c r="H14" s="6"/>
      <c r="I14" s="7"/>
      <c r="J14" s="5" t="str">
        <f>IFERROR(12-(1-I14+VLOOKUP(H14,Справка!$A$2:$B$7,2,FALSE)/100)/0.055,"")</f>
        <v/>
      </c>
    </row>
    <row r="15" spans="1:10" x14ac:dyDescent="0.25">
      <c r="A15" t="s">
        <v>414</v>
      </c>
      <c r="B15">
        <v>48656</v>
      </c>
      <c r="C15">
        <v>59824</v>
      </c>
      <c r="D15">
        <v>7304</v>
      </c>
      <c r="E15">
        <v>413</v>
      </c>
      <c r="F15" s="2">
        <v>1</v>
      </c>
      <c r="G15" t="s">
        <v>400</v>
      </c>
      <c r="H15" s="6"/>
      <c r="I15" s="7"/>
      <c r="J15" s="5" t="str">
        <f>IFERROR(12-(1-I15+VLOOKUP(H15,Справка!$A$2:$B$7,2,FALSE)/100)/0.055,"")</f>
        <v/>
      </c>
    </row>
    <row r="16" spans="1:10" x14ac:dyDescent="0.25">
      <c r="A16" t="s">
        <v>415</v>
      </c>
      <c r="B16">
        <v>41569</v>
      </c>
      <c r="C16">
        <v>57139</v>
      </c>
      <c r="D16">
        <v>6830</v>
      </c>
      <c r="E16">
        <v>605</v>
      </c>
      <c r="F16" s="2">
        <v>0.96</v>
      </c>
      <c r="G16" t="s">
        <v>400</v>
      </c>
      <c r="H16" s="6"/>
      <c r="I16" s="7"/>
      <c r="J16" s="5" t="str">
        <f>IFERROR(12-(1-I16+VLOOKUP(H16,Справка!$A$2:$B$7,2,FALSE)/100)/0.055,"")</f>
        <v/>
      </c>
    </row>
    <row r="17" spans="1:10" x14ac:dyDescent="0.25">
      <c r="A17" t="s">
        <v>416</v>
      </c>
      <c r="B17">
        <v>62811</v>
      </c>
      <c r="C17">
        <v>58376</v>
      </c>
      <c r="D17">
        <v>6508</v>
      </c>
      <c r="E17">
        <v>1489</v>
      </c>
      <c r="F17" s="2">
        <v>0.97</v>
      </c>
      <c r="G17" t="s">
        <v>403</v>
      </c>
      <c r="H17" s="6"/>
      <c r="I17" s="7"/>
      <c r="J17" s="5" t="str">
        <f>IFERROR(12-(1-I17+VLOOKUP(H17,Справка!$A$2:$B$7,2,FALSE)/100)/0.055,"")</f>
        <v/>
      </c>
    </row>
    <row r="18" spans="1:10" x14ac:dyDescent="0.25">
      <c r="A18" t="s">
        <v>417</v>
      </c>
      <c r="B18">
        <v>33312</v>
      </c>
      <c r="C18">
        <v>89920</v>
      </c>
      <c r="D18">
        <v>6279</v>
      </c>
      <c r="E18">
        <v>3342</v>
      </c>
      <c r="F18" s="2">
        <v>1</v>
      </c>
      <c r="G18" t="s">
        <v>418</v>
      </c>
      <c r="H18" s="6"/>
      <c r="I18" s="7"/>
      <c r="J18" s="5" t="str">
        <f>IFERROR(12-(1-I18+VLOOKUP(H18,Справка!$A$2:$B$7,2,FALSE)/100)/0.055,"")</f>
        <v/>
      </c>
    </row>
    <row r="19" spans="1:10" x14ac:dyDescent="0.25">
      <c r="A19" t="s">
        <v>419</v>
      </c>
      <c r="B19">
        <v>35747</v>
      </c>
      <c r="C19">
        <v>52080</v>
      </c>
      <c r="D19">
        <v>5832</v>
      </c>
      <c r="E19">
        <v>1453</v>
      </c>
      <c r="F19" s="2">
        <v>0.78</v>
      </c>
      <c r="G19" t="s">
        <v>420</v>
      </c>
      <c r="H19" s="6"/>
      <c r="I19" s="7"/>
      <c r="J19" s="5" t="str">
        <f>IFERROR(12-(1-I19+VLOOKUP(H19,Справка!$A$2:$B$7,2,FALSE)/100)/0.055,"")</f>
        <v/>
      </c>
    </row>
    <row r="20" spans="1:10" x14ac:dyDescent="0.25">
      <c r="A20" t="s">
        <v>421</v>
      </c>
      <c r="B20">
        <v>70722</v>
      </c>
      <c r="C20">
        <v>51191</v>
      </c>
      <c r="D20">
        <v>5644</v>
      </c>
      <c r="E20">
        <v>2456</v>
      </c>
      <c r="F20" s="2">
        <v>0.06</v>
      </c>
      <c r="G20" t="s">
        <v>420</v>
      </c>
      <c r="H20" s="6"/>
      <c r="I20" s="7"/>
      <c r="J20" s="5" t="str">
        <f>IFERROR(12-(1-I20+VLOOKUP(H20,Справка!$A$2:$B$7,2,FALSE)/100)/0.055,"")</f>
        <v/>
      </c>
    </row>
    <row r="21" spans="1:10" x14ac:dyDescent="0.25">
      <c r="A21" t="s">
        <v>422</v>
      </c>
      <c r="B21">
        <v>67274</v>
      </c>
      <c r="C21">
        <v>58587</v>
      </c>
      <c r="D21">
        <v>5365</v>
      </c>
      <c r="E21">
        <v>1198</v>
      </c>
      <c r="F21" s="2">
        <v>0.99</v>
      </c>
      <c r="G21" t="s">
        <v>403</v>
      </c>
      <c r="H21" s="6"/>
      <c r="I21" s="7"/>
      <c r="J21" s="5" t="str">
        <f>IFERROR(12-(1-I21+VLOOKUP(H21,Справка!$A$2:$B$7,2,FALSE)/100)/0.055,"")</f>
        <v/>
      </c>
    </row>
    <row r="22" spans="1:10" x14ac:dyDescent="0.25">
      <c r="A22" t="s">
        <v>423</v>
      </c>
      <c r="B22">
        <v>22621</v>
      </c>
      <c r="C22">
        <v>80019</v>
      </c>
      <c r="D22">
        <v>5183</v>
      </c>
      <c r="E22">
        <v>3069</v>
      </c>
      <c r="F22" s="2">
        <v>0.99</v>
      </c>
      <c r="G22" t="s">
        <v>400</v>
      </c>
      <c r="H22" s="3" t="s">
        <v>12</v>
      </c>
      <c r="I22" s="4">
        <v>0.5</v>
      </c>
      <c r="J22" s="5">
        <f>IFERROR(12-(1-I22+VLOOKUP(H22,Справка!$A$2:$B$7,2,FALSE)/100)/0.055,"")</f>
        <v>-22.632727272727273</v>
      </c>
    </row>
    <row r="23" spans="1:10" x14ac:dyDescent="0.25">
      <c r="A23" t="s">
        <v>424</v>
      </c>
      <c r="B23">
        <v>36832</v>
      </c>
      <c r="C23">
        <v>88320</v>
      </c>
      <c r="D23">
        <v>4596</v>
      </c>
      <c r="E23">
        <v>1659</v>
      </c>
      <c r="F23" s="2">
        <v>1</v>
      </c>
      <c r="G23" t="s">
        <v>403</v>
      </c>
      <c r="H23" s="6"/>
      <c r="I23" s="7"/>
      <c r="J23" s="5" t="str">
        <f>IFERROR(12-(1-I23+VLOOKUP(H23,Справка!$A$2:$B$7,2,FALSE)/100)/0.055,"")</f>
        <v/>
      </c>
    </row>
    <row r="24" spans="1:10" x14ac:dyDescent="0.25">
      <c r="A24" t="s">
        <v>425</v>
      </c>
      <c r="B24">
        <v>49334</v>
      </c>
      <c r="C24">
        <v>38004</v>
      </c>
      <c r="D24">
        <v>4527</v>
      </c>
      <c r="E24">
        <v>1056</v>
      </c>
      <c r="F24" s="2">
        <v>0</v>
      </c>
      <c r="G24" t="s">
        <v>426</v>
      </c>
      <c r="H24" s="3" t="s">
        <v>14</v>
      </c>
      <c r="I24" s="4">
        <v>0.75</v>
      </c>
      <c r="J24" s="5">
        <f>IFERROR(12-(1-I24+VLOOKUP(H24,Справка!$A$2:$B$7,2,FALSE)/100)/0.055,"")</f>
        <v>-10.650909090909092</v>
      </c>
    </row>
    <row r="25" spans="1:10" x14ac:dyDescent="0.25">
      <c r="A25" t="s">
        <v>427</v>
      </c>
      <c r="B25">
        <v>57695</v>
      </c>
      <c r="C25">
        <v>43972</v>
      </c>
      <c r="D25">
        <v>4137</v>
      </c>
      <c r="E25">
        <v>170</v>
      </c>
      <c r="F25" s="2">
        <v>0</v>
      </c>
      <c r="G25" t="s">
        <v>426</v>
      </c>
      <c r="H25" s="6"/>
      <c r="I25" s="7"/>
      <c r="J25" s="5" t="str">
        <f>IFERROR(12-(1-I25+VLOOKUP(H25,Справка!$A$2:$B$7,2,FALSE)/100)/0.055,"")</f>
        <v/>
      </c>
    </row>
    <row r="26" spans="1:10" x14ac:dyDescent="0.25">
      <c r="A26" t="s">
        <v>428</v>
      </c>
      <c r="B26">
        <v>54028</v>
      </c>
      <c r="C26">
        <v>77963</v>
      </c>
      <c r="D26">
        <v>3743</v>
      </c>
      <c r="E26">
        <v>-636</v>
      </c>
      <c r="F26" s="2">
        <v>0.82</v>
      </c>
      <c r="G26" t="s">
        <v>403</v>
      </c>
      <c r="H26" s="6"/>
      <c r="I26" s="7"/>
      <c r="J26" s="5" t="str">
        <f>IFERROR(12-(1-I26+VLOOKUP(H26,Справка!$A$2:$B$7,2,FALSE)/100)/0.055,"")</f>
        <v/>
      </c>
    </row>
    <row r="27" spans="1:10" x14ac:dyDescent="0.25">
      <c r="A27" t="s">
        <v>429</v>
      </c>
      <c r="B27">
        <v>43753</v>
      </c>
      <c r="C27">
        <v>43975</v>
      </c>
      <c r="D27">
        <v>3617</v>
      </c>
      <c r="E27">
        <v>-247</v>
      </c>
      <c r="F27" s="2">
        <v>0</v>
      </c>
      <c r="G27" t="s">
        <v>426</v>
      </c>
      <c r="H27" s="6"/>
      <c r="I27" s="7"/>
      <c r="J27" s="5" t="str">
        <f>IFERROR(12-(1-I27+VLOOKUP(H27,Справка!$A$2:$B$7,2,FALSE)/100)/0.055,"")</f>
        <v/>
      </c>
    </row>
    <row r="28" spans="1:10" x14ac:dyDescent="0.25">
      <c r="A28" t="s">
        <v>430</v>
      </c>
      <c r="B28">
        <v>66672</v>
      </c>
      <c r="C28">
        <v>41649</v>
      </c>
      <c r="D28">
        <v>3558</v>
      </c>
      <c r="E28">
        <v>485</v>
      </c>
      <c r="F28" s="2">
        <v>0</v>
      </c>
      <c r="G28" t="s">
        <v>426</v>
      </c>
      <c r="H28" s="6"/>
      <c r="I28" s="7"/>
      <c r="J28" s="5" t="str">
        <f>IFERROR(12-(1-I28+VLOOKUP(H28,Справка!$A$2:$B$7,2,FALSE)/100)/0.055,"")</f>
        <v/>
      </c>
    </row>
    <row r="29" spans="1:10" x14ac:dyDescent="0.25">
      <c r="A29" t="s">
        <v>431</v>
      </c>
      <c r="B29">
        <v>55880</v>
      </c>
      <c r="C29">
        <v>50199</v>
      </c>
      <c r="D29">
        <v>3304</v>
      </c>
      <c r="E29">
        <v>-2261</v>
      </c>
      <c r="F29" s="2">
        <v>0.19</v>
      </c>
      <c r="G29" t="s">
        <v>420</v>
      </c>
      <c r="H29" s="3" t="s">
        <v>14</v>
      </c>
      <c r="I29" s="4">
        <v>0.75</v>
      </c>
      <c r="J29" s="5">
        <f>IFERROR(12-(1-I29+VLOOKUP(H29,Справка!$A$2:$B$7,2,FALSE)/100)/0.055,"")</f>
        <v>-10.650909090909092</v>
      </c>
    </row>
    <row r="30" spans="1:10" x14ac:dyDescent="0.25">
      <c r="A30" t="s">
        <v>432</v>
      </c>
      <c r="B30">
        <v>21588</v>
      </c>
      <c r="C30">
        <v>64459</v>
      </c>
      <c r="D30">
        <v>3092</v>
      </c>
      <c r="E30">
        <v>304</v>
      </c>
      <c r="F30" s="2">
        <v>0.43</v>
      </c>
      <c r="G30" t="s">
        <v>400</v>
      </c>
      <c r="H30" s="6"/>
      <c r="I30" s="7"/>
      <c r="J30" s="5" t="str">
        <f>IFERROR(12-(1-I30+VLOOKUP(H30,Справка!$A$2:$B$7,2,FALSE)/100)/0.055,"")</f>
        <v/>
      </c>
    </row>
    <row r="31" spans="1:10" x14ac:dyDescent="0.25">
      <c r="A31" t="s">
        <v>433</v>
      </c>
      <c r="B31">
        <v>73452</v>
      </c>
      <c r="C31">
        <v>70790</v>
      </c>
      <c r="D31">
        <v>2865</v>
      </c>
      <c r="E31">
        <v>687</v>
      </c>
      <c r="F31" s="2">
        <v>0.98</v>
      </c>
      <c r="G31" t="s">
        <v>434</v>
      </c>
      <c r="H31" s="3" t="s">
        <v>435</v>
      </c>
      <c r="I31" s="4">
        <v>0.75</v>
      </c>
      <c r="J31" s="5">
        <f>IFERROR(12-(1-I31+VLOOKUP(H31,Справка!$A$2:$B$7,2,FALSE)/100)/0.055,"")</f>
        <v>-14.369090909090907</v>
      </c>
    </row>
    <row r="32" spans="1:10" x14ac:dyDescent="0.25">
      <c r="A32" t="s">
        <v>436</v>
      </c>
      <c r="B32">
        <v>25738</v>
      </c>
      <c r="C32">
        <v>55271</v>
      </c>
      <c r="D32">
        <v>2654</v>
      </c>
      <c r="E32">
        <v>-470</v>
      </c>
      <c r="F32" s="2">
        <v>0.17</v>
      </c>
      <c r="G32" t="s">
        <v>400</v>
      </c>
      <c r="H32" s="6"/>
      <c r="I32" s="7"/>
      <c r="J32" s="5" t="str">
        <f>IFERROR(12-(1-I32+VLOOKUP(H32,Справка!$A$2:$B$7,2,FALSE)/100)/0.055,"")</f>
        <v/>
      </c>
    </row>
    <row r="33" spans="1:10" x14ac:dyDescent="0.25">
      <c r="A33" t="s">
        <v>437</v>
      </c>
      <c r="B33">
        <v>63355</v>
      </c>
      <c r="C33">
        <v>75109</v>
      </c>
      <c r="D33">
        <v>2160</v>
      </c>
      <c r="E33">
        <v>-1447</v>
      </c>
      <c r="F33" s="2">
        <v>0.81</v>
      </c>
      <c r="G33" t="s">
        <v>403</v>
      </c>
      <c r="H33" s="6"/>
      <c r="I33" s="7"/>
      <c r="J33" s="5" t="str">
        <f>IFERROR(12-(1-I33+VLOOKUP(H33,Справка!$A$2:$B$7,2,FALSE)/100)/0.055,"")</f>
        <v/>
      </c>
    </row>
    <row r="34" spans="1:10" x14ac:dyDescent="0.25">
      <c r="A34" t="s">
        <v>438</v>
      </c>
      <c r="B34">
        <v>75484</v>
      </c>
      <c r="C34">
        <v>23835</v>
      </c>
      <c r="D34">
        <v>1865</v>
      </c>
      <c r="E34">
        <v>2603</v>
      </c>
      <c r="F34" s="2">
        <v>0</v>
      </c>
      <c r="G34" t="s">
        <v>426</v>
      </c>
      <c r="H34" s="3" t="s">
        <v>19</v>
      </c>
      <c r="I34" s="4">
        <v>0.85</v>
      </c>
      <c r="J34" s="5">
        <f>IFERROR(12-(1-I34+VLOOKUP(H34,Справка!$A$2:$B$7,2,FALSE)/100)/0.055,"")</f>
        <v>-5.1145454545454534</v>
      </c>
    </row>
    <row r="35" spans="1:10" x14ac:dyDescent="0.25">
      <c r="A35" t="s">
        <v>439</v>
      </c>
      <c r="B35">
        <v>52459</v>
      </c>
      <c r="C35">
        <v>23940</v>
      </c>
      <c r="D35">
        <v>1654</v>
      </c>
      <c r="E35">
        <v>887</v>
      </c>
      <c r="F35" s="2">
        <v>0</v>
      </c>
      <c r="G35" t="s">
        <v>426</v>
      </c>
      <c r="H35" s="3" t="s">
        <v>19</v>
      </c>
      <c r="I35" s="4">
        <v>0.75</v>
      </c>
      <c r="J35" s="5">
        <f>IFERROR(12-(1-I35+VLOOKUP(H35,Справка!$A$2:$B$7,2,FALSE)/100)/0.055,"")</f>
        <v>-6.9327272727272735</v>
      </c>
    </row>
    <row r="36" spans="1:10" x14ac:dyDescent="0.25">
      <c r="A36" t="s">
        <v>440</v>
      </c>
      <c r="B36">
        <v>38040</v>
      </c>
      <c r="C36">
        <v>25760</v>
      </c>
      <c r="D36">
        <v>1338</v>
      </c>
      <c r="E36">
        <v>303</v>
      </c>
      <c r="F36" s="2">
        <v>0</v>
      </c>
      <c r="G36" t="s">
        <v>426</v>
      </c>
      <c r="H36" s="6"/>
      <c r="I36" s="7"/>
      <c r="J36" s="5" t="str">
        <f>IFERROR(12-(1-I36+VLOOKUP(H36,Справка!$A$2:$B$7,2,FALSE)/100)/0.055,"")</f>
        <v/>
      </c>
    </row>
    <row r="37" spans="1:10" x14ac:dyDescent="0.25">
      <c r="A37" t="s">
        <v>441</v>
      </c>
      <c r="B37">
        <v>72854</v>
      </c>
      <c r="C37">
        <v>34655</v>
      </c>
      <c r="D37">
        <v>1317</v>
      </c>
      <c r="E37">
        <v>-131</v>
      </c>
      <c r="F37" s="2">
        <v>0</v>
      </c>
      <c r="G37" t="s">
        <v>426</v>
      </c>
      <c r="H37" s="6"/>
      <c r="I37" s="7"/>
      <c r="J37" s="5" t="str">
        <f>IFERROR(12-(1-I37+VLOOKUP(H37,Справка!$A$2:$B$7,2,FALSE)/100)/0.055,"")</f>
        <v/>
      </c>
    </row>
    <row r="38" spans="1:10" x14ac:dyDescent="0.25">
      <c r="A38" t="s">
        <v>442</v>
      </c>
      <c r="B38">
        <v>43976</v>
      </c>
      <c r="C38">
        <v>19472</v>
      </c>
      <c r="D38">
        <v>1201</v>
      </c>
      <c r="E38">
        <v>1286</v>
      </c>
      <c r="F38" s="2">
        <v>0</v>
      </c>
      <c r="G38" t="s">
        <v>426</v>
      </c>
      <c r="H38" s="6"/>
      <c r="I38" s="7"/>
      <c r="J38" s="5" t="str">
        <f>IFERROR(12-(1-I38+VLOOKUP(H38,Справка!$A$2:$B$7,2,FALSE)/100)/0.055,"")</f>
        <v/>
      </c>
    </row>
    <row r="39" spans="1:10" x14ac:dyDescent="0.25">
      <c r="A39" t="s">
        <v>443</v>
      </c>
      <c r="B39">
        <v>88252</v>
      </c>
      <c r="C39">
        <v>70979</v>
      </c>
      <c r="D39">
        <v>726</v>
      </c>
      <c r="E39">
        <v>1599</v>
      </c>
      <c r="F39" s="2">
        <v>0.53</v>
      </c>
      <c r="G39" t="s">
        <v>418</v>
      </c>
      <c r="H39" s="6"/>
      <c r="I39" s="7"/>
      <c r="J39" s="5" t="str">
        <f>IFERROR(12-(1-I39+VLOOKUP(H39,Справка!$A$2:$B$7,2,FALSE)/100)/0.055,"")</f>
        <v/>
      </c>
    </row>
    <row r="40" spans="1:10" x14ac:dyDescent="0.25">
      <c r="A40" t="s">
        <v>444</v>
      </c>
      <c r="B40">
        <v>80276</v>
      </c>
      <c r="C40">
        <v>58550</v>
      </c>
      <c r="D40">
        <v>687</v>
      </c>
      <c r="E40">
        <v>-730</v>
      </c>
      <c r="F40" s="2">
        <v>0.03</v>
      </c>
      <c r="G40" t="s">
        <v>403</v>
      </c>
      <c r="H40" s="6"/>
      <c r="I40" s="7"/>
      <c r="J40" s="5" t="str">
        <f>IFERROR(12-(1-I40+VLOOKUP(H40,Справка!$A$2:$B$7,2,FALSE)/100)/0.055,"")</f>
        <v/>
      </c>
    </row>
    <row r="41" spans="1:10" x14ac:dyDescent="0.25">
      <c r="A41" t="s">
        <v>445</v>
      </c>
      <c r="B41">
        <v>22958</v>
      </c>
      <c r="C41">
        <v>30935</v>
      </c>
      <c r="D41">
        <v>646</v>
      </c>
      <c r="E41">
        <v>931</v>
      </c>
      <c r="F41" s="2">
        <v>0</v>
      </c>
      <c r="G41" t="s">
        <v>446</v>
      </c>
      <c r="H41" s="6"/>
      <c r="I41" s="7"/>
      <c r="J41" s="5" t="str">
        <f>IFERROR(12-(1-I41+VLOOKUP(H41,Справка!$A$2:$B$7,2,FALSE)/100)/0.055,"")</f>
        <v/>
      </c>
    </row>
    <row r="42" spans="1:10" x14ac:dyDescent="0.25">
      <c r="A42" t="s">
        <v>447</v>
      </c>
      <c r="B42">
        <v>26130</v>
      </c>
      <c r="C42">
        <v>46941</v>
      </c>
      <c r="D42">
        <v>569</v>
      </c>
      <c r="E42">
        <v>-1522</v>
      </c>
      <c r="F42" s="2">
        <v>0.03</v>
      </c>
      <c r="G42" t="s">
        <v>426</v>
      </c>
      <c r="H42" s="6"/>
      <c r="I42" s="7"/>
      <c r="J42" s="5" t="str">
        <f>IFERROR(12-(1-I42+VLOOKUP(H42,Справка!$A$2:$B$7,2,FALSE)/100)/0.055,"")</f>
        <v/>
      </c>
    </row>
    <row r="43" spans="1:10" x14ac:dyDescent="0.25">
      <c r="A43" t="s">
        <v>448</v>
      </c>
      <c r="B43">
        <v>18448</v>
      </c>
      <c r="C43">
        <v>83247</v>
      </c>
      <c r="D43">
        <v>568</v>
      </c>
      <c r="E43">
        <v>271</v>
      </c>
      <c r="F43" s="2">
        <v>0.44</v>
      </c>
      <c r="G43" t="s">
        <v>400</v>
      </c>
      <c r="H43" s="6"/>
      <c r="I43" s="7"/>
      <c r="J43" s="5" t="str">
        <f>IFERROR(12-(1-I43+VLOOKUP(H43,Справка!$A$2:$B$7,2,FALSE)/100)/0.055,"")</f>
        <v/>
      </c>
    </row>
    <row r="44" spans="1:10" x14ac:dyDescent="0.25">
      <c r="A44" t="s">
        <v>449</v>
      </c>
      <c r="B44">
        <v>34666</v>
      </c>
      <c r="C44">
        <v>23259</v>
      </c>
      <c r="D44">
        <v>470</v>
      </c>
      <c r="E44">
        <v>357</v>
      </c>
      <c r="F44" s="2">
        <v>0</v>
      </c>
      <c r="G44" t="s">
        <v>426</v>
      </c>
      <c r="H44" s="6"/>
      <c r="I44" s="7"/>
      <c r="J44" s="5" t="str">
        <f>IFERROR(12-(1-I44+VLOOKUP(H44,Справка!$A$2:$B$7,2,FALSE)/100)/0.055,"")</f>
        <v/>
      </c>
    </row>
    <row r="45" spans="1:10" x14ac:dyDescent="0.25">
      <c r="A45" t="s">
        <v>450</v>
      </c>
      <c r="B45">
        <v>84516</v>
      </c>
      <c r="C45">
        <v>72408</v>
      </c>
      <c r="D45">
        <v>469</v>
      </c>
      <c r="E45">
        <v>746</v>
      </c>
      <c r="F45" s="2">
        <v>0.42</v>
      </c>
      <c r="G45" t="s">
        <v>418</v>
      </c>
      <c r="H45" s="6"/>
      <c r="I45" s="7"/>
      <c r="J45" s="5" t="str">
        <f>IFERROR(12-(1-I45+VLOOKUP(H45,Справка!$A$2:$B$7,2,FALSE)/100)/0.055,"")</f>
        <v/>
      </c>
    </row>
    <row r="46" spans="1:10" x14ac:dyDescent="0.25">
      <c r="A46" t="s">
        <v>451</v>
      </c>
      <c r="B46">
        <v>30884</v>
      </c>
      <c r="C46">
        <v>35050</v>
      </c>
      <c r="D46">
        <v>372</v>
      </c>
      <c r="E46">
        <v>-776</v>
      </c>
      <c r="F46" s="2">
        <v>0</v>
      </c>
      <c r="G46" t="s">
        <v>446</v>
      </c>
      <c r="H46" s="3" t="s">
        <v>19</v>
      </c>
      <c r="I46" s="4">
        <v>0.85</v>
      </c>
      <c r="J46" s="5">
        <f>IFERROR(12-(1-I46+VLOOKUP(H46,Справка!$A$2:$B$7,2,FALSE)/100)/0.055,"")</f>
        <v>-5.1145454545454534</v>
      </c>
    </row>
    <row r="47" spans="1:10" x14ac:dyDescent="0.25">
      <c r="A47" t="s">
        <v>452</v>
      </c>
      <c r="B47">
        <v>73271</v>
      </c>
      <c r="C47">
        <v>84589</v>
      </c>
      <c r="D47">
        <v>345</v>
      </c>
      <c r="E47">
        <v>-32</v>
      </c>
      <c r="F47" s="2">
        <v>0.41</v>
      </c>
      <c r="G47" t="s">
        <v>418</v>
      </c>
      <c r="H47" s="6"/>
      <c r="I47" s="7"/>
      <c r="J47" s="5" t="str">
        <f>IFERROR(12-(1-I47+VLOOKUP(H47,Справка!$A$2:$B$7,2,FALSE)/100)/0.055,"")</f>
        <v/>
      </c>
    </row>
    <row r="48" spans="1:10" x14ac:dyDescent="0.25">
      <c r="A48" t="s">
        <v>453</v>
      </c>
      <c r="B48">
        <v>46899</v>
      </c>
      <c r="C48">
        <v>92687</v>
      </c>
      <c r="D48">
        <v>341</v>
      </c>
      <c r="E48">
        <v>-1152</v>
      </c>
      <c r="F48" s="2">
        <v>0.99</v>
      </c>
      <c r="G48" t="s">
        <v>418</v>
      </c>
      <c r="H48" s="6"/>
      <c r="I48" s="7"/>
      <c r="J48" s="5" t="str">
        <f>IFERROR(12-(1-I48+VLOOKUP(H48,Справка!$A$2:$B$7,2,FALSE)/100)/0.055,"")</f>
        <v/>
      </c>
    </row>
    <row r="49" spans="1:10" x14ac:dyDescent="0.25">
      <c r="A49" t="s">
        <v>454</v>
      </c>
      <c r="B49">
        <v>22751</v>
      </c>
      <c r="C49">
        <v>92430</v>
      </c>
      <c r="D49">
        <v>335</v>
      </c>
      <c r="E49">
        <v>676</v>
      </c>
      <c r="F49" s="2">
        <v>0.67</v>
      </c>
      <c r="G49" t="s">
        <v>400</v>
      </c>
      <c r="H49" s="6"/>
      <c r="I49" s="7"/>
      <c r="J49" s="5" t="str">
        <f>IFERROR(12-(1-I49+VLOOKUP(H49,Справка!$A$2:$B$7,2,FALSE)/100)/0.055,"")</f>
        <v/>
      </c>
    </row>
    <row r="50" spans="1:10" x14ac:dyDescent="0.25">
      <c r="A50" t="s">
        <v>455</v>
      </c>
      <c r="B50">
        <v>36220</v>
      </c>
      <c r="C50">
        <v>11292</v>
      </c>
      <c r="D50">
        <v>331</v>
      </c>
      <c r="E50">
        <v>1963</v>
      </c>
      <c r="F50" s="2">
        <v>0</v>
      </c>
      <c r="G50" t="s">
        <v>426</v>
      </c>
      <c r="H50" s="6"/>
      <c r="I50" s="7"/>
      <c r="J50" s="5" t="str">
        <f>IFERROR(12-(1-I50+VLOOKUP(H50,Справка!$A$2:$B$7,2,FALSE)/100)/0.055,"")</f>
        <v/>
      </c>
    </row>
    <row r="51" spans="1:10" x14ac:dyDescent="0.25">
      <c r="A51" t="s">
        <v>456</v>
      </c>
      <c r="B51">
        <v>67552</v>
      </c>
      <c r="C51">
        <v>82272</v>
      </c>
      <c r="D51">
        <v>280</v>
      </c>
      <c r="E51">
        <v>-837</v>
      </c>
      <c r="F51" s="2">
        <v>0.16</v>
      </c>
      <c r="G51" t="s">
        <v>418</v>
      </c>
      <c r="H51" s="6"/>
      <c r="I51" s="7"/>
      <c r="J51" s="5" t="str">
        <f>IFERROR(12-(1-I51+VLOOKUP(H51,Справка!$A$2:$B$7,2,FALSE)/100)/0.055,"")</f>
        <v/>
      </c>
    </row>
    <row r="52" spans="1:10" x14ac:dyDescent="0.25">
      <c r="A52" t="s">
        <v>457</v>
      </c>
      <c r="B52">
        <v>84722</v>
      </c>
      <c r="C52">
        <v>40363</v>
      </c>
      <c r="D52">
        <v>3</v>
      </c>
      <c r="E52">
        <v>351</v>
      </c>
      <c r="F52" s="2">
        <v>0</v>
      </c>
      <c r="G52" t="s">
        <v>420</v>
      </c>
      <c r="H52" s="6"/>
      <c r="I52" s="7"/>
      <c r="J52" s="5" t="str">
        <f>IFERROR(12-(1-I52+VLOOKUP(H52,Справка!$A$2:$B$7,2,FALSE)/100)/0.055,"")</f>
        <v/>
      </c>
    </row>
    <row r="53" spans="1:10" x14ac:dyDescent="0.25">
      <c r="A53" t="s">
        <v>458</v>
      </c>
      <c r="B53">
        <v>13982</v>
      </c>
      <c r="C53">
        <v>23713</v>
      </c>
      <c r="D53">
        <v>-1777</v>
      </c>
      <c r="E53">
        <v>-2</v>
      </c>
      <c r="F53" s="2">
        <v>0</v>
      </c>
      <c r="G53" t="s">
        <v>426</v>
      </c>
      <c r="H53" s="6"/>
      <c r="I53" s="7"/>
      <c r="J53" s="5" t="str">
        <f>IFERROR(12-(1-I53+VLOOKUP(H53,Справка!$A$2:$B$7,2,FALSE)/100)/0.055,"")</f>
        <v/>
      </c>
    </row>
  </sheetData>
  <autoFilter ref="A1:J53" xr:uid="{00000000-0009-0000-0000-000001000000}"/>
  <dataValidations count="1">
    <dataValidation type="decimal" allowBlank="1" sqref="I2:I53" xr:uid="{00000000-0002-0000-0100-000001000000}">
      <formula1>0</formula1>
      <formula2>3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Справка!$A$2:$A$7</xm:f>
          </x14:formula1>
          <xm:sqref>H2:H53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defaultRowHeight="15" x14ac:dyDescent="0.25"/>
  <cols>
    <col min="1" max="1" width="22" customWidth="1"/>
    <col min="2" max="2" width="10" customWidth="1"/>
    <col min="4" max="4" width="66" customWidth="1"/>
  </cols>
  <sheetData>
    <row r="1" spans="1:4" x14ac:dyDescent="0.25">
      <c r="A1" t="s">
        <v>7</v>
      </c>
      <c r="B1" t="s">
        <v>459</v>
      </c>
      <c r="D1" t="s">
        <v>460</v>
      </c>
    </row>
    <row r="2" spans="1:4" x14ac:dyDescent="0.25">
      <c r="A2" t="s">
        <v>47</v>
      </c>
      <c r="B2">
        <v>0</v>
      </c>
      <c r="D2" t="s">
        <v>461</v>
      </c>
    </row>
    <row r="3" spans="1:4" x14ac:dyDescent="0.25">
      <c r="A3" t="s">
        <v>17</v>
      </c>
      <c r="B3">
        <v>58.68</v>
      </c>
      <c r="D3" t="s">
        <v>462</v>
      </c>
    </row>
    <row r="4" spans="1:4" x14ac:dyDescent="0.25">
      <c r="A4" t="s">
        <v>19</v>
      </c>
      <c r="B4">
        <v>79.13</v>
      </c>
      <c r="D4" t="s">
        <v>463</v>
      </c>
    </row>
    <row r="5" spans="1:4" x14ac:dyDescent="0.25">
      <c r="A5" t="s">
        <v>14</v>
      </c>
      <c r="B5">
        <v>99.58</v>
      </c>
      <c r="D5" t="s">
        <v>464</v>
      </c>
    </row>
    <row r="6" spans="1:4" x14ac:dyDescent="0.25">
      <c r="A6" t="s">
        <v>435</v>
      </c>
      <c r="B6">
        <v>120.03</v>
      </c>
    </row>
    <row r="7" spans="1:4" x14ac:dyDescent="0.25">
      <c r="A7" t="s">
        <v>12</v>
      </c>
      <c r="B7">
        <v>140.47999999999999</v>
      </c>
      <c r="D7" t="s">
        <v>465</v>
      </c>
    </row>
    <row r="9" spans="1:4" x14ac:dyDescent="0.25">
      <c r="D9" t="s">
        <v>466</v>
      </c>
    </row>
    <row r="10" spans="1:4" x14ac:dyDescent="0.25">
      <c r="D10" t="s">
        <v>467</v>
      </c>
    </row>
    <row r="12" spans="1:4" x14ac:dyDescent="0.25">
      <c r="D12" t="s">
        <v>468</v>
      </c>
    </row>
    <row r="14" spans="1:4" x14ac:dyDescent="0.25">
      <c r="D14" t="s">
        <v>469</v>
      </c>
    </row>
    <row r="15" spans="1:4" x14ac:dyDescent="0.25">
      <c r="D15" t="s">
        <v>470</v>
      </c>
    </row>
    <row r="16" spans="1:4" x14ac:dyDescent="0.25">
      <c r="D16" t="s">
        <v>471</v>
      </c>
    </row>
    <row r="18" spans="4:4" x14ac:dyDescent="0.25">
      <c r="D18" t="s">
        <v>472</v>
      </c>
    </row>
    <row r="19" spans="4:4" x14ac:dyDescent="0.25">
      <c r="D19" t="s">
        <v>473</v>
      </c>
    </row>
    <row r="20" spans="4:4" x14ac:dyDescent="0.25">
      <c r="D20" t="s">
        <v>474</v>
      </c>
    </row>
    <row r="21" spans="4:4" x14ac:dyDescent="0.25">
      <c r="D21" t="s">
        <v>475</v>
      </c>
    </row>
    <row r="22" spans="4:4" x14ac:dyDescent="0.25">
      <c r="D22" t="s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Skyrim</vt:lpstr>
      <vt:lpstr>Solstheim</vt:lpstr>
      <vt:lpstr>Справка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Kuznetsov</cp:lastModifiedBy>
  <dcterms:created xsi:type="dcterms:W3CDTF">2026-09-16T21:42:27Z</dcterms:created>
  <dcterms:modified xsi:type="dcterms:W3CDTF">2026-09-16T21:58:47Z</dcterms:modified>
</cp:coreProperties>
</file>